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Projection'!$A$4:$H$133</definedName>
    <definedName name="_xlnm._FilterDatabase" localSheetId="5" hidden="1">'Raw Data'!$A$1:$Q$1110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09 September 2026 - 09:25  |  Source: PSI AR Monitoring Master.xlsx</t>
        </is>
      </c>
    </row>
    <row r="5" ht="18" customHeight="1">
      <c r="A5" s="3" t="inlineStr">
        <is>
          <t>AR SNAPSHOT — as of 09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124512516693.4031</v>
      </c>
      <c r="B7" s="10" t="n"/>
      <c r="C7" s="10" t="n"/>
      <c r="D7" s="11" t="n"/>
      <c r="E7" s="12" t="n">
        <v>114361544801.6401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52389447944.92668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8043733581.978172</v>
      </c>
      <c r="B17" s="11" t="n"/>
      <c r="C17" s="27" t="n">
        <v>3860725277.3516</v>
      </c>
      <c r="D17" s="11" t="n"/>
      <c r="E17" s="28" t="n">
        <v>176562423778.4995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7853363565.145592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47572253752.5473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46312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2718633281.2</v>
      </c>
      <c r="J66" s="37">
        <f>SUM(B66:I66)</f>
        <v/>
      </c>
    </row>
    <row r="67">
      <c r="A67" s="58" t="n">
        <v>46314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6961188446.9934</v>
      </c>
      <c r="J67" s="37">
        <f>SUM(B67:I67)</f>
        <v/>
      </c>
    </row>
    <row r="68">
      <c r="A68" s="58" t="n">
        <v>46325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11364602504.9616</v>
      </c>
      <c r="J68" s="37">
        <f>SUM(B68:I68)</f>
        <v/>
      </c>
    </row>
    <row r="69">
      <c r="A69" s="59" t="inlineStr">
        <is>
          <t>Total upcoming in October</t>
        </is>
      </c>
      <c r="B69" s="40">
        <f>SUM(B60:B68)</f>
        <v/>
      </c>
      <c r="C69" s="40">
        <f>SUM(C60:C68)</f>
        <v/>
      </c>
      <c r="D69" s="40">
        <f>SUM(D60:D68)</f>
        <v/>
      </c>
      <c r="E69" s="40">
        <f>SUM(E60:E68)</f>
        <v/>
      </c>
      <c r="F69" s="40">
        <f>SUM(F60:F68)</f>
        <v/>
      </c>
      <c r="G69" s="40">
        <f>SUM(G60:G68)</f>
        <v/>
      </c>
      <c r="H69" s="40">
        <f>SUM(H60:H68)</f>
        <v/>
      </c>
      <c r="I69" s="40">
        <f>SUM(I60:I68)</f>
        <v/>
      </c>
      <c r="J69" s="40">
        <f>SUM(J60:J68)</f>
        <v/>
      </c>
    </row>
    <row r="71" ht="38" customHeight="1">
      <c r="A71" s="55" t="inlineStr">
        <is>
          <t>Due Date</t>
        </is>
      </c>
      <c r="B71" s="55" t="inlineStr">
        <is>
          <t>PT Advanta Seeds Indonesia</t>
        </is>
      </c>
      <c r="C71" s="55" t="inlineStr">
        <is>
          <t>PT Alam Semesta Agro</t>
        </is>
      </c>
      <c r="D71" s="55" t="inlineStr">
        <is>
          <t>PT Corteva Agriscience Seed Indonesia</t>
        </is>
      </c>
      <c r="E71" s="55" t="inlineStr">
        <is>
          <t>PT Bayer Indonesia</t>
        </is>
      </c>
      <c r="F71" s="55" t="inlineStr">
        <is>
          <t>Nuziveedu</t>
        </is>
      </c>
      <c r="G71" s="55" t="inlineStr">
        <is>
          <t>Bioseed</t>
        </is>
      </c>
      <c r="H71" s="55" t="inlineStr">
        <is>
          <t>PT East West Seed Indonesia</t>
        </is>
      </c>
      <c r="I71" s="55" t="inlineStr">
        <is>
          <t>PT Syngenta Indonesia</t>
        </is>
      </c>
      <c r="J71" s="55" t="inlineStr">
        <is>
          <t>Total</t>
        </is>
      </c>
    </row>
    <row r="72">
      <c r="A72" s="58" t="n">
        <v>46328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4350483497.0188</v>
      </c>
      <c r="J72" s="37">
        <f>SUM(B72:I72)</f>
        <v/>
      </c>
    </row>
    <row r="73">
      <c r="A73" s="59" t="inlineStr">
        <is>
          <t>Total upcoming in November</t>
        </is>
      </c>
      <c r="B73" s="40">
        <f>SUM(B72:B72)</f>
        <v/>
      </c>
      <c r="C73" s="40">
        <f>SUM(C72:C72)</f>
        <v/>
      </c>
      <c r="D73" s="40">
        <f>SUM(D72:D72)</f>
        <v/>
      </c>
      <c r="E73" s="40">
        <f>SUM(E72:E72)</f>
        <v/>
      </c>
      <c r="F73" s="40">
        <f>SUM(F72:F72)</f>
        <v/>
      </c>
      <c r="G73" s="40">
        <f>SUM(G72:G72)</f>
        <v/>
      </c>
      <c r="H73" s="40">
        <f>SUM(H72:H72)</f>
        <v/>
      </c>
      <c r="I73" s="40">
        <f>SUM(I72:I72)</f>
        <v/>
      </c>
      <c r="J73" s="40">
        <f>SUM(J72:J72)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09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-597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-26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-26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-4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-4</v>
      </c>
      <c r="H45" s="72" t="inlineStr">
        <is>
          <t>Overdue</t>
        </is>
      </c>
    </row>
    <row r="46">
      <c r="A46" s="71" t="n">
        <v>46274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46274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46274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46274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46274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46274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46274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46274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46274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46274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46274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46274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46274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46274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46274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46274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46274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46274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46278</v>
      </c>
      <c r="B64" s="76" t="inlineStr">
        <is>
          <t>PT Syngenta Indonesia</t>
        </is>
      </c>
      <c r="C64" s="76" t="inlineStr">
        <is>
          <t>PT.PSI/PT.SSI/RENTAL/33/2026</t>
        </is>
      </c>
      <c r="D64" s="76" t="inlineStr">
        <is>
          <t>Tooling</t>
        </is>
      </c>
      <c r="E64" s="77" t="n">
        <v>27842793.22</v>
      </c>
      <c r="F64" s="75" t="n">
        <v>46278</v>
      </c>
      <c r="G64" s="78" t="n">
        <v>4</v>
      </c>
      <c r="H64" s="76" t="inlineStr">
        <is>
          <t>Future</t>
        </is>
      </c>
    </row>
    <row r="65">
      <c r="A65" s="75" t="n">
        <v>46282</v>
      </c>
      <c r="B65" s="76" t="inlineStr">
        <is>
          <t>PT Corteva Agriscience Seed Indonesia</t>
        </is>
      </c>
      <c r="C65" s="76" t="inlineStr">
        <is>
          <t>PT.PSI/PT.CASI/FC-C/49/2026</t>
        </is>
      </c>
      <c r="D65" s="76" t="inlineStr">
        <is>
          <t>Tooling</t>
        </is>
      </c>
      <c r="E65" s="77" t="n">
        <v>3981599123.659349</v>
      </c>
      <c r="F65" s="75" t="n">
        <v>46276</v>
      </c>
      <c r="G65" s="78" t="n">
        <v>8</v>
      </c>
      <c r="H65" s="76" t="inlineStr">
        <is>
          <t>Future</t>
        </is>
      </c>
    </row>
    <row r="66">
      <c r="A66" s="75" t="n">
        <v>46282</v>
      </c>
      <c r="B66" s="76" t="inlineStr">
        <is>
          <t>PT Corteva Agriscience Seed Indonesia</t>
        </is>
      </c>
      <c r="C66" s="76" t="inlineStr">
        <is>
          <t>PT.PSI/PT.CASI/FC-C/50/2026</t>
        </is>
      </c>
      <c r="D66" s="76" t="inlineStr">
        <is>
          <t>Tooling</t>
        </is>
      </c>
      <c r="E66" s="77" t="n">
        <v>1542175442.6694</v>
      </c>
      <c r="F66" s="75" t="n">
        <v>46276</v>
      </c>
      <c r="G66" s="78" t="n">
        <v>8</v>
      </c>
      <c r="H66" s="76" t="inlineStr">
        <is>
          <t>Future</t>
        </is>
      </c>
    </row>
    <row r="67">
      <c r="A67" s="75" t="n">
        <v>46282</v>
      </c>
      <c r="B67" s="76" t="inlineStr">
        <is>
          <t>PT Corteva Agriscience Seed Indonesia</t>
        </is>
      </c>
      <c r="C67" s="76" t="inlineStr">
        <is>
          <t>PT.PSI/PT.CASI/FC-PS/51/2026</t>
        </is>
      </c>
      <c r="D67" s="76" t="inlineStr">
        <is>
          <t>Tooling</t>
        </is>
      </c>
      <c r="E67" s="77" t="n">
        <v>487978078.30875</v>
      </c>
      <c r="F67" s="75" t="n">
        <v>46276</v>
      </c>
      <c r="G67" s="78" t="n">
        <v>8</v>
      </c>
      <c r="H67" s="76" t="inlineStr">
        <is>
          <t>Future</t>
        </is>
      </c>
    </row>
    <row r="68">
      <c r="A68" s="75" t="n">
        <v>46282</v>
      </c>
      <c r="B68" s="76" t="inlineStr">
        <is>
          <t>PT Corteva Agriscience Seed Indonesia</t>
        </is>
      </c>
      <c r="C68" s="76" t="inlineStr">
        <is>
          <t>PT.PSI/PT.CASI/FC-PS/52/2026</t>
        </is>
      </c>
      <c r="D68" s="76" t="inlineStr">
        <is>
          <t>Tooling</t>
        </is>
      </c>
      <c r="E68" s="77" t="n">
        <v>14255050.74672</v>
      </c>
      <c r="F68" s="75" t="n">
        <v>46276</v>
      </c>
      <c r="G68" s="78" t="n">
        <v>8</v>
      </c>
      <c r="H68" s="76" t="inlineStr">
        <is>
          <t>Future</t>
        </is>
      </c>
    </row>
    <row r="69">
      <c r="A69" s="75" t="n">
        <v>46284</v>
      </c>
      <c r="B69" s="76" t="inlineStr">
        <is>
          <t>PT Syngenta Indonesia</t>
        </is>
      </c>
      <c r="C69" s="76" t="inlineStr">
        <is>
          <t>PT.PSI/PT.SSI/TC-PAS 2/32/2026</t>
        </is>
      </c>
      <c r="D69" s="76" t="inlineStr">
        <is>
          <t>Tooling</t>
        </is>
      </c>
      <c r="E69" s="77" t="n">
        <v>326395903.6008</v>
      </c>
      <c r="F69" s="75" t="n">
        <v>46284</v>
      </c>
      <c r="G69" s="78" t="n">
        <v>10</v>
      </c>
      <c r="H69" s="76" t="inlineStr">
        <is>
          <t>Future</t>
        </is>
      </c>
    </row>
    <row r="70">
      <c r="A70" s="75" t="n">
        <v>46284</v>
      </c>
      <c r="B70" s="76" t="inlineStr">
        <is>
          <t>PT Syngenta Indonesia</t>
        </is>
      </c>
      <c r="C70" s="76" t="inlineStr">
        <is>
          <t>PT.PSI/PT.SSI/TC-PAS 2/33/2026</t>
        </is>
      </c>
      <c r="D70" s="76" t="inlineStr">
        <is>
          <t>Tooling</t>
        </is>
      </c>
      <c r="E70" s="77" t="n">
        <v>240049.20888</v>
      </c>
      <c r="F70" s="75" t="n">
        <v>46284</v>
      </c>
      <c r="G70" s="78" t="n">
        <v>10</v>
      </c>
      <c r="H70" s="76" t="inlineStr">
        <is>
          <t>Future</t>
        </is>
      </c>
    </row>
    <row r="71">
      <c r="A71" s="75" t="n">
        <v>46286</v>
      </c>
      <c r="B71" s="76" t="inlineStr">
        <is>
          <t>PT Syngenta Indonesia</t>
        </is>
      </c>
      <c r="C71" s="76" t="inlineStr">
        <is>
          <t>PT.PSI/PT.SSI/TC-PAS 2/34/2026</t>
        </is>
      </c>
      <c r="D71" s="76" t="inlineStr">
        <is>
          <t>Tooling</t>
        </is>
      </c>
      <c r="E71" s="77" t="n">
        <v>570800977.7184</v>
      </c>
      <c r="F71" s="75" t="n">
        <v>46286</v>
      </c>
      <c r="G71" s="78" t="n">
        <v>12</v>
      </c>
      <c r="H71" s="76" t="inlineStr">
        <is>
          <t>Future</t>
        </is>
      </c>
    </row>
    <row r="72">
      <c r="A72" s="75" t="n">
        <v>46289</v>
      </c>
      <c r="B72" s="76" t="inlineStr">
        <is>
          <t>PT Corteva Agriscience Seed Indonesia</t>
        </is>
      </c>
      <c r="C72" s="76" t="inlineStr">
        <is>
          <t>PT.PSI/PT.CASI/REP/53/2026</t>
        </is>
      </c>
      <c r="D72" s="76" t="inlineStr">
        <is>
          <t>Tooling</t>
        </is>
      </c>
      <c r="E72" s="77" t="n">
        <v>36849832.74</v>
      </c>
      <c r="F72" s="75" t="n">
        <v>46285</v>
      </c>
      <c r="G72" s="78" t="n">
        <v>15</v>
      </c>
      <c r="H72" s="76" t="inlineStr">
        <is>
          <t>Future</t>
        </is>
      </c>
    </row>
    <row r="73">
      <c r="A73" s="75" t="n">
        <v>46289</v>
      </c>
      <c r="B73" s="76" t="inlineStr">
        <is>
          <t>PT Corteva Agriscience Seed Indonesia</t>
        </is>
      </c>
      <c r="C73" s="76" t="inlineStr">
        <is>
          <t>PT.PSI/PT.CASI/REP/54/2026</t>
        </is>
      </c>
      <c r="D73" s="76" t="inlineStr">
        <is>
          <t>Tooling</t>
        </is>
      </c>
      <c r="E73" s="77" t="n">
        <v>31988016.36</v>
      </c>
      <c r="F73" s="75" t="n">
        <v>46285</v>
      </c>
      <c r="G73" s="78" t="n">
        <v>15</v>
      </c>
      <c r="H73" s="76" t="inlineStr">
        <is>
          <t>Future</t>
        </is>
      </c>
    </row>
    <row r="74">
      <c r="A74" s="75" t="n">
        <v>46289</v>
      </c>
      <c r="B74" s="76" t="inlineStr">
        <is>
          <t>PT Corteva Agriscience Seed Indonesia</t>
        </is>
      </c>
      <c r="C74" s="76" t="inlineStr">
        <is>
          <t>PT.PSI/PT.CASI/REP/55/2026</t>
        </is>
      </c>
      <c r="D74" s="76" t="inlineStr">
        <is>
          <t>Tooling</t>
        </is>
      </c>
      <c r="E74" s="77" t="n">
        <v>19431065.722</v>
      </c>
      <c r="F74" s="75" t="n">
        <v>46285</v>
      </c>
      <c r="G74" s="78" t="n">
        <v>15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PT.PSI/PT.BI/FC/43/2026</t>
        </is>
      </c>
      <c r="D75" s="76" t="inlineStr">
        <is>
          <t>Tooling</t>
        </is>
      </c>
      <c r="E75" s="77" t="n">
        <v>103679056</v>
      </c>
      <c r="F75" s="75" t="n">
        <v>46292</v>
      </c>
      <c r="G75" s="78" t="n">
        <v>18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PT.PSI/PT.BI/FC/44/2026</t>
        </is>
      </c>
      <c r="D76" s="76" t="inlineStr">
        <is>
          <t>Tooling</t>
        </is>
      </c>
      <c r="E76" s="77" t="n">
        <v>92863095</v>
      </c>
      <c r="F76" s="75" t="n">
        <v>46292</v>
      </c>
      <c r="G76" s="78" t="n">
        <v>18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PT.PSI/PT.BI/FC/45/2026</t>
        </is>
      </c>
      <c r="D77" s="76" t="inlineStr">
        <is>
          <t>Tooling</t>
        </is>
      </c>
      <c r="E77" s="77" t="n">
        <v>17392258</v>
      </c>
      <c r="F77" s="75" t="n">
        <v>46292</v>
      </c>
      <c r="G77" s="78" t="n">
        <v>18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PT.PSI/PT.BI/FC/46/2026</t>
        </is>
      </c>
      <c r="D78" s="76" t="inlineStr">
        <is>
          <t>Tooling</t>
        </is>
      </c>
      <c r="E78" s="77" t="n">
        <v>197734556.5</v>
      </c>
      <c r="F78" s="75" t="n">
        <v>46292</v>
      </c>
      <c r="G78" s="78" t="n">
        <v>18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PT.PSI/PT.BI/FC/47/2026</t>
        </is>
      </c>
      <c r="D79" s="76" t="inlineStr">
        <is>
          <t>Tooling</t>
        </is>
      </c>
      <c r="E79" s="77" t="n">
        <v>254755628.4</v>
      </c>
      <c r="F79" s="75" t="n">
        <v>46292</v>
      </c>
      <c r="G79" s="78" t="n">
        <v>18</v>
      </c>
      <c r="H79" s="76" t="inlineStr">
        <is>
          <t>Future</t>
        </is>
      </c>
    </row>
    <row r="80">
      <c r="A80" s="75" t="n">
        <v>46292</v>
      </c>
      <c r="B80" s="76" t="inlineStr">
        <is>
          <t>PT Bayer Indonesia</t>
        </is>
      </c>
      <c r="C80" s="76" t="inlineStr">
        <is>
          <t>PT.PSI/PT.BI/FC/48/2026</t>
        </is>
      </c>
      <c r="D80" s="76" t="inlineStr">
        <is>
          <t>Tooling</t>
        </is>
      </c>
      <c r="E80" s="77" t="n">
        <v>10599160</v>
      </c>
      <c r="F80" s="75" t="n">
        <v>46292</v>
      </c>
      <c r="G80" s="78" t="n">
        <v>18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PT.PSI/PT.BI/FC/49/2026</t>
        </is>
      </c>
      <c r="D81" s="76" t="inlineStr">
        <is>
          <t>Tooling</t>
        </is>
      </c>
      <c r="E81" s="77" t="n">
        <v>54405006.5</v>
      </c>
      <c r="F81" s="75" t="n">
        <v>46292</v>
      </c>
      <c r="G81" s="78" t="n">
        <v>18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PT.PSI/PT.BI/FC/50/2026</t>
        </is>
      </c>
      <c r="D82" s="76" t="inlineStr">
        <is>
          <t>Tooling</t>
        </is>
      </c>
      <c r="E82" s="77" t="n">
        <v>1075481.2</v>
      </c>
      <c r="F82" s="75" t="n">
        <v>46292</v>
      </c>
      <c r="G82" s="78" t="n">
        <v>18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PT.PSI/PT.BI/FC/51/2026</t>
        </is>
      </c>
      <c r="D83" s="76" t="inlineStr">
        <is>
          <t>Tooling</t>
        </is>
      </c>
      <c r="E83" s="77" t="n">
        <v>803447.72</v>
      </c>
      <c r="F83" s="75" t="n">
        <v>46292</v>
      </c>
      <c r="G83" s="78" t="n">
        <v>18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PT.PSI/PT.BI/FC/52/2026</t>
        </is>
      </c>
      <c r="D84" s="76" t="inlineStr">
        <is>
          <t>Tooling</t>
        </is>
      </c>
      <c r="E84" s="77" t="n">
        <v>7250789</v>
      </c>
      <c r="F84" s="75" t="n">
        <v>46292</v>
      </c>
      <c r="G84" s="78" t="n">
        <v>18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PT.PSI/PT.BI/FC/53/2026</t>
        </is>
      </c>
      <c r="D85" s="76" t="inlineStr">
        <is>
          <t>Tooling</t>
        </is>
      </c>
      <c r="E85" s="77" t="n">
        <v>101318334</v>
      </c>
      <c r="F85" s="75" t="n">
        <v>46292</v>
      </c>
      <c r="G85" s="78" t="n">
        <v>18</v>
      </c>
      <c r="H85" s="76" t="inlineStr">
        <is>
          <t>Future</t>
        </is>
      </c>
    </row>
    <row r="86">
      <c r="A86" s="75" t="n">
        <v>46293</v>
      </c>
      <c r="B86" s="76" t="inlineStr">
        <is>
          <t>PT Bayer Indonesia</t>
        </is>
      </c>
      <c r="C86" s="76" t="inlineStr">
        <is>
          <t>PT.PSI/PT.BI/FC/54/2026</t>
        </is>
      </c>
      <c r="D86" s="76" t="inlineStr">
        <is>
          <t>Tooling</t>
        </is>
      </c>
      <c r="E86" s="77" t="n">
        <v>156400274.1</v>
      </c>
      <c r="F86" s="75" t="n">
        <v>46293</v>
      </c>
      <c r="G86" s="78" t="n">
        <v>19</v>
      </c>
      <c r="H86" s="76" t="inlineStr">
        <is>
          <t>Future</t>
        </is>
      </c>
    </row>
    <row r="87">
      <c r="A87" s="75" t="n">
        <v>46293</v>
      </c>
      <c r="B87" s="76" t="inlineStr">
        <is>
          <t>PT Bayer Indonesia</t>
        </is>
      </c>
      <c r="C87" s="76" t="inlineStr">
        <is>
          <t>PT.PSI/PT.BI/FC/55/2026</t>
        </is>
      </c>
      <c r="D87" s="76" t="inlineStr">
        <is>
          <t>Tooling</t>
        </is>
      </c>
      <c r="E87" s="77" t="n">
        <v>50838199.5</v>
      </c>
      <c r="F87" s="75" t="n">
        <v>46293</v>
      </c>
      <c r="G87" s="78" t="n">
        <v>19</v>
      </c>
      <c r="H87" s="76" t="inlineStr">
        <is>
          <t>Future</t>
        </is>
      </c>
    </row>
    <row r="88">
      <c r="A88" s="75" t="n">
        <v>46293</v>
      </c>
      <c r="B88" s="76" t="inlineStr">
        <is>
          <t>PT Bayer Indonesia</t>
        </is>
      </c>
      <c r="C88" s="76" t="inlineStr">
        <is>
          <t>PT.PSI/PT.BI/FC/56/2026</t>
        </is>
      </c>
      <c r="D88" s="76" t="inlineStr">
        <is>
          <t>Tooling</t>
        </is>
      </c>
      <c r="E88" s="77" t="n">
        <v>376884765.6</v>
      </c>
      <c r="F88" s="75" t="n">
        <v>46293</v>
      </c>
      <c r="G88" s="78" t="n">
        <v>19</v>
      </c>
      <c r="H88" s="76" t="inlineStr">
        <is>
          <t>Future</t>
        </is>
      </c>
    </row>
    <row r="89">
      <c r="A89" s="75" t="n">
        <v>46293</v>
      </c>
      <c r="B89" s="76" t="inlineStr">
        <is>
          <t>PT Bayer Indonesia</t>
        </is>
      </c>
      <c r="C89" s="76" t="inlineStr">
        <is>
          <t>PT.PSI/PT.BI/FC/57/2026</t>
        </is>
      </c>
      <c r="D89" s="76" t="inlineStr">
        <is>
          <t>Tooling</t>
        </is>
      </c>
      <c r="E89" s="77" t="n">
        <v>100336789</v>
      </c>
      <c r="F89" s="75" t="n">
        <v>46293</v>
      </c>
      <c r="G89" s="78" t="n">
        <v>19</v>
      </c>
      <c r="H89" s="76" t="inlineStr">
        <is>
          <t>Future</t>
        </is>
      </c>
    </row>
    <row r="90">
      <c r="A90" s="75" t="n">
        <v>46293</v>
      </c>
      <c r="B90" s="76" t="inlineStr">
        <is>
          <t>PT Bayer Indonesia</t>
        </is>
      </c>
      <c r="C90" s="76" t="inlineStr">
        <is>
          <t>PT.PSI/PT.BI/FC/58/2026</t>
        </is>
      </c>
      <c r="D90" s="76" t="inlineStr">
        <is>
          <t>Tooling</t>
        </is>
      </c>
      <c r="E90" s="77" t="n">
        <v>787756603.1999999</v>
      </c>
      <c r="F90" s="75" t="n">
        <v>46293</v>
      </c>
      <c r="G90" s="78" t="n">
        <v>19</v>
      </c>
      <c r="H90" s="76" t="inlineStr">
        <is>
          <t>Future</t>
        </is>
      </c>
    </row>
    <row r="91">
      <c r="A91" s="75" t="n">
        <v>46293</v>
      </c>
      <c r="B91" s="76" t="inlineStr">
        <is>
          <t>PT Bayer Indonesia</t>
        </is>
      </c>
      <c r="C91" s="76" t="inlineStr">
        <is>
          <t>PT.PSI/PT.BI/FC/59/2026</t>
        </is>
      </c>
      <c r="D91" s="76" t="inlineStr">
        <is>
          <t>Tooling</t>
        </is>
      </c>
      <c r="E91" s="77" t="n">
        <v>140859991.5</v>
      </c>
      <c r="F91" s="75" t="n">
        <v>46293</v>
      </c>
      <c r="G91" s="78" t="n">
        <v>19</v>
      </c>
      <c r="H91" s="76" t="inlineStr">
        <is>
          <t>Future</t>
        </is>
      </c>
    </row>
    <row r="92">
      <c r="A92" s="75" t="n">
        <v>46296</v>
      </c>
      <c r="B92" s="76" t="inlineStr">
        <is>
          <t>PT Advanta Seeds Indonesia</t>
        </is>
      </c>
      <c r="C92" s="76" t="inlineStr">
        <is>
          <t xml:space="preserve">PT.PSI/PT.ASI/FC/66/2026 </t>
        </is>
      </c>
      <c r="D92" s="76" t="inlineStr">
        <is>
          <t>Tooling</t>
        </is>
      </c>
      <c r="E92" s="77" t="n">
        <v>3100200501.96</v>
      </c>
      <c r="F92" s="75" t="n">
        <v>46296</v>
      </c>
      <c r="G92" s="78" t="n">
        <v>22</v>
      </c>
      <c r="H92" s="76" t="inlineStr">
        <is>
          <t>Future</t>
        </is>
      </c>
    </row>
    <row r="93">
      <c r="A93" s="75" t="n">
        <v>46296</v>
      </c>
      <c r="B93" s="76" t="inlineStr">
        <is>
          <t>PT Advanta Seeds Indonesia</t>
        </is>
      </c>
      <c r="C93" s="76" t="inlineStr">
        <is>
          <t xml:space="preserve">PT.PSI/PT.ASI/FC/67/2026 </t>
        </is>
      </c>
      <c r="D93" s="76" t="inlineStr">
        <is>
          <t>Tooling</t>
        </is>
      </c>
      <c r="E93" s="77" t="n">
        <v>237729</v>
      </c>
      <c r="F93" s="75" t="n">
        <v>46296</v>
      </c>
      <c r="G93" s="78" t="n">
        <v>22</v>
      </c>
      <c r="H93" s="76" t="inlineStr">
        <is>
          <t>Future</t>
        </is>
      </c>
    </row>
    <row r="94">
      <c r="A94" s="75" t="n">
        <v>46296</v>
      </c>
      <c r="B94" s="76" t="inlineStr">
        <is>
          <t>PT Advanta Seeds Indonesia</t>
        </is>
      </c>
      <c r="C94" s="76" t="inlineStr">
        <is>
          <t xml:space="preserve">PT.PSI/PT.ASI/FC/67/2026 </t>
        </is>
      </c>
      <c r="D94" s="76" t="inlineStr">
        <is>
          <t>Tooling</t>
        </is>
      </c>
      <c r="E94" s="77" t="n">
        <v>142404425.58</v>
      </c>
      <c r="F94" s="75" t="n">
        <v>46296</v>
      </c>
      <c r="G94" s="78" t="n">
        <v>22</v>
      </c>
      <c r="H94" s="76" t="inlineStr">
        <is>
          <t>Future</t>
        </is>
      </c>
    </row>
    <row r="95">
      <c r="A95" s="75" t="n">
        <v>46296</v>
      </c>
      <c r="B95" s="76" t="inlineStr">
        <is>
          <t>PT Advanta Seeds Indonesia</t>
        </is>
      </c>
      <c r="C95" s="76" t="inlineStr">
        <is>
          <t xml:space="preserve">PT.PSI/PT.ASI/FC/67/2026 </t>
        </is>
      </c>
      <c r="D95" s="76" t="inlineStr">
        <is>
          <t>Tooling</t>
        </is>
      </c>
      <c r="E95" s="77" t="n">
        <v>270535602</v>
      </c>
      <c r="F95" s="75" t="n">
        <v>46296</v>
      </c>
      <c r="G95" s="78" t="n">
        <v>22</v>
      </c>
      <c r="H95" s="76" t="inlineStr">
        <is>
          <t>Future</t>
        </is>
      </c>
    </row>
    <row r="96">
      <c r="A96" s="75" t="n">
        <v>46296</v>
      </c>
      <c r="B96" s="76" t="inlineStr">
        <is>
          <t>PT Advanta Seeds Indonesia</t>
        </is>
      </c>
      <c r="C96" s="76" t="inlineStr">
        <is>
          <t xml:space="preserve">PT.PSI/PT.ASI/FC/68/2026 </t>
        </is>
      </c>
      <c r="D96" s="76" t="inlineStr">
        <is>
          <t>Tooling</t>
        </is>
      </c>
      <c r="E96" s="77" t="n">
        <v>28798491.06</v>
      </c>
      <c r="F96" s="75" t="n">
        <v>46296</v>
      </c>
      <c r="G96" s="78" t="n">
        <v>22</v>
      </c>
      <c r="H96" s="76" t="inlineStr">
        <is>
          <t>Future</t>
        </is>
      </c>
    </row>
    <row r="97">
      <c r="A97" s="75" t="n">
        <v>46296</v>
      </c>
      <c r="B97" s="76" t="inlineStr">
        <is>
          <t>PT Corteva Agriscience Seed Indonesia</t>
        </is>
      </c>
      <c r="C97" s="76" t="inlineStr">
        <is>
          <t>PT.PSI/PT.CASI/RENTAL WAREHOUSE/13/2026</t>
        </is>
      </c>
      <c r="D97" s="76" t="inlineStr">
        <is>
          <t>Rental</t>
        </is>
      </c>
      <c r="E97" s="77" t="n">
        <v>872911811.2</v>
      </c>
      <c r="F97" s="75" t="n">
        <v>46295</v>
      </c>
      <c r="G97" s="78" t="n">
        <v>22</v>
      </c>
      <c r="H97" s="76" t="inlineStr">
        <is>
          <t>Future</t>
        </is>
      </c>
    </row>
    <row r="98">
      <c r="A98" s="75" t="n">
        <v>46296</v>
      </c>
      <c r="B98" s="76" t="inlineStr">
        <is>
          <t>PT Corteva Agriscience Seed Indonesia</t>
        </is>
      </c>
      <c r="C98" s="76" t="inlineStr">
        <is>
          <t>PT.PSI/PT.CASI/RENTAL WAREHOUSE/14/2026</t>
        </is>
      </c>
      <c r="D98" s="76" t="inlineStr">
        <is>
          <t>Rental</t>
        </is>
      </c>
      <c r="E98" s="77" t="n">
        <v>302161780.8</v>
      </c>
      <c r="F98" s="75" t="n">
        <v>46295</v>
      </c>
      <c r="G98" s="78" t="n">
        <v>22</v>
      </c>
      <c r="H98" s="76" t="inlineStr">
        <is>
          <t>Future</t>
        </is>
      </c>
    </row>
    <row r="99">
      <c r="A99" s="75" t="n">
        <v>46300</v>
      </c>
      <c r="B99" s="76" t="inlineStr">
        <is>
          <t>PT Syngenta Indonesia</t>
        </is>
      </c>
      <c r="C99" s="76" t="inlineStr">
        <is>
          <t>PT.PSI/PT.SSI/RENTAL/34/2026</t>
        </is>
      </c>
      <c r="D99" s="76" t="inlineStr">
        <is>
          <t>Tooling</t>
        </is>
      </c>
      <c r="E99" s="77" t="n">
        <v>18871809.6</v>
      </c>
      <c r="F99" s="75" t="n">
        <v>46300</v>
      </c>
      <c r="G99" s="78" t="n">
        <v>26</v>
      </c>
      <c r="H99" s="76" t="inlineStr">
        <is>
          <t>Future</t>
        </is>
      </c>
    </row>
    <row r="100">
      <c r="A100" s="75" t="n">
        <v>46301</v>
      </c>
      <c r="B100" s="76" t="inlineStr">
        <is>
          <t>PT Syngenta Indonesia</t>
        </is>
      </c>
      <c r="C100" s="76" t="inlineStr">
        <is>
          <t>PT.PSI/PT.SSI/TC-PAS/35/2026</t>
        </is>
      </c>
      <c r="D100" s="76" t="inlineStr">
        <is>
          <t>Tooling</t>
        </is>
      </c>
      <c r="E100" s="77" t="n">
        <v>226017285.066</v>
      </c>
      <c r="F100" s="75" t="n">
        <v>46301</v>
      </c>
      <c r="G100" s="78" t="n">
        <v>27</v>
      </c>
      <c r="H100" s="76" t="inlineStr">
        <is>
          <t>Future</t>
        </is>
      </c>
    </row>
    <row r="101">
      <c r="A101" s="75" t="n">
        <v>46301</v>
      </c>
      <c r="B101" s="76" t="inlineStr">
        <is>
          <t>PT Syngenta Indonesia</t>
        </is>
      </c>
      <c r="C101" s="76" t="inlineStr">
        <is>
          <t>PT.PSI/PT.SSI/TC-MLG/36/2026</t>
        </is>
      </c>
      <c r="D101" s="76" t="inlineStr">
        <is>
          <t>Tooling</t>
        </is>
      </c>
      <c r="E101" s="77" t="n">
        <v>3356193038.598001</v>
      </c>
      <c r="F101" s="75" t="n">
        <v>46301</v>
      </c>
      <c r="G101" s="78" t="n">
        <v>27</v>
      </c>
      <c r="H101" s="76" t="inlineStr">
        <is>
          <t>Future</t>
        </is>
      </c>
    </row>
    <row r="102">
      <c r="A102" s="75" t="n">
        <v>46301</v>
      </c>
      <c r="B102" s="76" t="inlineStr">
        <is>
          <t>PT Syngenta Indonesia</t>
        </is>
      </c>
      <c r="C102" s="76" t="inlineStr">
        <is>
          <t>PT.PSI/PT.SSI/TC-PAS 2/37/2026</t>
        </is>
      </c>
      <c r="D102" s="76" t="inlineStr">
        <is>
          <t>Tooling</t>
        </is>
      </c>
      <c r="E102" s="77" t="n">
        <v>767489805.3095999</v>
      </c>
      <c r="F102" s="75" t="n">
        <v>46301</v>
      </c>
      <c r="G102" s="78" t="n">
        <v>27</v>
      </c>
      <c r="H102" s="76" t="inlineStr">
        <is>
          <t>Future</t>
        </is>
      </c>
    </row>
    <row r="103">
      <c r="A103" s="75" t="n">
        <v>46301</v>
      </c>
      <c r="B103" s="76" t="inlineStr">
        <is>
          <t>PT Syngenta Indonesia</t>
        </is>
      </c>
      <c r="C103" s="76" t="inlineStr">
        <is>
          <t>PT.PSI/PT.SSI/TC-PAS 2/37/2026</t>
        </is>
      </c>
      <c r="D103" s="76" t="inlineStr">
        <is>
          <t>Tooling</t>
        </is>
      </c>
      <c r="E103" s="77" t="n">
        <v>231565952.52</v>
      </c>
      <c r="F103" s="75" t="n">
        <v>46301</v>
      </c>
      <c r="G103" s="78" t="n">
        <v>27</v>
      </c>
      <c r="H103" s="76" t="inlineStr">
        <is>
          <t>Future</t>
        </is>
      </c>
    </row>
    <row r="104">
      <c r="A104" s="75" t="n">
        <v>46303</v>
      </c>
      <c r="B104" s="76" t="inlineStr">
        <is>
          <t>PT Corteva Agriscience Seed Indonesia</t>
        </is>
      </c>
      <c r="C104" s="76" t="inlineStr">
        <is>
          <t>PT.PSI/PT.CASI/RENTAL COLD STORAGE_ PAS/15/2026</t>
        </is>
      </c>
      <c r="D104" s="76" t="inlineStr">
        <is>
          <t>Rental</t>
        </is>
      </c>
      <c r="E104" s="77" t="n">
        <v>541504029.249372</v>
      </c>
      <c r="F104" s="75" t="n">
        <v>46298</v>
      </c>
      <c r="G104" s="78" t="n">
        <v>29</v>
      </c>
      <c r="H104" s="76" t="inlineStr">
        <is>
          <t>Future</t>
        </is>
      </c>
    </row>
    <row r="105">
      <c r="A105" s="75" t="n">
        <v>46303</v>
      </c>
      <c r="B105" s="76" t="inlineStr">
        <is>
          <t>PT Corteva Agriscience Seed Indonesia</t>
        </is>
      </c>
      <c r="C105" s="76" t="inlineStr">
        <is>
          <t>PT.PSI/PT.CASI/RENTAL OFFICE/03/2026</t>
        </is>
      </c>
      <c r="D105" s="76" t="inlineStr">
        <is>
          <t>Rental</t>
        </is>
      </c>
      <c r="E105" s="77" t="n">
        <v>22509333.69</v>
      </c>
      <c r="F105" s="75" t="n">
        <v>46298</v>
      </c>
      <c r="G105" s="78" t="n">
        <v>29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PT.PSI/PT.EWINDO_LMB/12/2026</t>
        </is>
      </c>
      <c r="D106" s="76" t="inlineStr">
        <is>
          <t>Tooling</t>
        </is>
      </c>
      <c r="E106" s="77" t="n">
        <v>802240</v>
      </c>
      <c r="F106" s="75" t="n">
        <v>46305</v>
      </c>
      <c r="G106" s="78" t="n">
        <v>31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PT.PSI/PT.EWINDO_LMB/13/2026</t>
        </is>
      </c>
      <c r="D107" s="76" t="inlineStr">
        <is>
          <t>Tooling</t>
        </is>
      </c>
      <c r="E107" s="77" t="n">
        <v>8632800</v>
      </c>
      <c r="F107" s="75" t="n">
        <v>46305</v>
      </c>
      <c r="G107" s="78" t="n">
        <v>31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PT.PSI/PT.EWINDO_LMB/14/2026</t>
        </is>
      </c>
      <c r="D108" s="76" t="inlineStr">
        <is>
          <t>Tooling</t>
        </is>
      </c>
      <c r="E108" s="77" t="n">
        <v>967920</v>
      </c>
      <c r="F108" s="75" t="n">
        <v>46305</v>
      </c>
      <c r="G108" s="78" t="n">
        <v>31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PT.PSI/PT.EWINDO_LMB/15/2026</t>
        </is>
      </c>
      <c r="D109" s="76" t="inlineStr">
        <is>
          <t>Tooling</t>
        </is>
      </c>
      <c r="E109" s="77" t="n">
        <v>20509440</v>
      </c>
      <c r="F109" s="75" t="n">
        <v>46305</v>
      </c>
      <c r="G109" s="78" t="n">
        <v>31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PT.PSI/PT.EWINDO_LMB/16/2026</t>
        </is>
      </c>
      <c r="D110" s="76" t="inlineStr">
        <is>
          <t>Tooling</t>
        </is>
      </c>
      <c r="E110" s="77" t="n">
        <v>2180000</v>
      </c>
      <c r="F110" s="75" t="n">
        <v>46305</v>
      </c>
      <c r="G110" s="78" t="n">
        <v>31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PT.PSI/PT.EWINDO_LMB/17/2026</t>
        </is>
      </c>
      <c r="D111" s="76" t="inlineStr">
        <is>
          <t>Tooling</t>
        </is>
      </c>
      <c r="E111" s="77" t="n">
        <v>540640</v>
      </c>
      <c r="F111" s="75" t="n">
        <v>46305</v>
      </c>
      <c r="G111" s="78" t="n">
        <v>31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PT.PSI/PT.EWINDO_LMB/18/2026</t>
        </is>
      </c>
      <c r="D112" s="76" t="inlineStr">
        <is>
          <t>Tooling</t>
        </is>
      </c>
      <c r="E112" s="77" t="n">
        <v>47532720</v>
      </c>
      <c r="F112" s="75" t="n">
        <v>46305</v>
      </c>
      <c r="G112" s="78" t="n">
        <v>31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PT.PSI/PT.EWINDO_LMB/19/2026</t>
        </is>
      </c>
      <c r="D113" s="76" t="inlineStr">
        <is>
          <t>Tooling</t>
        </is>
      </c>
      <c r="E113" s="77" t="n">
        <v>50794000</v>
      </c>
      <c r="F113" s="75" t="n">
        <v>46305</v>
      </c>
      <c r="G113" s="78" t="n">
        <v>31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Syngenta Indonesia</t>
        </is>
      </c>
      <c r="C114" s="76" t="inlineStr">
        <is>
          <t>PT.PSI/PT.SSI/TC-PAS 2/38/2026</t>
        </is>
      </c>
      <c r="D114" s="76" t="inlineStr">
        <is>
          <t>Tooling</t>
        </is>
      </c>
      <c r="E114" s="77" t="n">
        <v>886307502.1920002</v>
      </c>
      <c r="F114" s="75" t="n">
        <v>46305</v>
      </c>
      <c r="G114" s="78" t="n">
        <v>31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PT.PSI/PT.SSI/TC-MLG/39/2026</t>
        </is>
      </c>
      <c r="D115" s="76" t="inlineStr">
        <is>
          <t>Tooling</t>
        </is>
      </c>
      <c r="E115" s="77" t="n">
        <v>5676698527.872001</v>
      </c>
      <c r="F115" s="75" t="n">
        <v>46308</v>
      </c>
      <c r="G115" s="78" t="n">
        <v>34</v>
      </c>
      <c r="H115" s="76" t="inlineStr">
        <is>
          <t>Future</t>
        </is>
      </c>
    </row>
    <row r="116">
      <c r="A116" s="75" t="n">
        <v>46308</v>
      </c>
      <c r="B116" s="76" t="inlineStr">
        <is>
          <t>PT Syngenta Indonesia</t>
        </is>
      </c>
      <c r="C116" s="76" t="inlineStr">
        <is>
          <t>PT.PSI/PT.SSI/TC-PAS 2/40/2026</t>
        </is>
      </c>
      <c r="D116" s="76" t="inlineStr">
        <is>
          <t>Tooling</t>
        </is>
      </c>
      <c r="E116" s="77" t="n">
        <v>564189103.6416</v>
      </c>
      <c r="F116" s="75" t="n">
        <v>46308</v>
      </c>
      <c r="G116" s="78" t="n">
        <v>34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PT.PSI/PT.SSI/RENTAL-CS-PIER2/35/2026 </t>
        </is>
      </c>
      <c r="D117" s="76" t="inlineStr">
        <is>
          <t>Rental</t>
        </is>
      </c>
      <c r="E117" s="77" t="n">
        <v>1365520000</v>
      </c>
      <c r="F117" s="75" t="n">
        <v>46312</v>
      </c>
      <c r="G117" s="78" t="n">
        <v>38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 xml:space="preserve">PT.PSI/PT.SSI/RENTAL-H-PIER2/36/2026 </t>
        </is>
      </c>
      <c r="D118" s="76" t="inlineStr">
        <is>
          <t>Rental</t>
        </is>
      </c>
      <c r="E118" s="77" t="n">
        <v>9687031.199999999</v>
      </c>
      <c r="F118" s="75" t="n">
        <v>46312</v>
      </c>
      <c r="G118" s="78" t="n">
        <v>38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PT.PSI/PT.SSI/RENTAL-CS-MLG/37/2026</t>
        </is>
      </c>
      <c r="D119" s="76" t="inlineStr">
        <is>
          <t>Rental</t>
        </is>
      </c>
      <c r="E119" s="77" t="n">
        <v>1070726250</v>
      </c>
      <c r="F119" s="75" t="n">
        <v>46312</v>
      </c>
      <c r="G119" s="78" t="n">
        <v>38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>PT.PSI/PT.SSI/RENTAL-WH-MLG/38/2026</t>
        </is>
      </c>
      <c r="D120" s="76" t="inlineStr">
        <is>
          <t>Rental</t>
        </is>
      </c>
      <c r="E120" s="77" t="n">
        <v>272700000</v>
      </c>
      <c r="F120" s="75" t="n">
        <v>46312</v>
      </c>
      <c r="G120" s="78" t="n">
        <v>38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PT.PSI/PT.SSI/TC-PAS 2/41/2026</t>
        </is>
      </c>
      <c r="D121" s="76" t="inlineStr">
        <is>
          <t>Tooling</t>
        </is>
      </c>
      <c r="E121" s="77" t="n">
        <v>545818781.4912</v>
      </c>
      <c r="F121" s="75" t="n">
        <v>46314</v>
      </c>
      <c r="G121" s="78" t="n">
        <v>40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PT.PSI/PT.SSI/TC-PAS 2/42/2026</t>
        </is>
      </c>
      <c r="D122" s="76" t="inlineStr">
        <is>
          <t>Tooling</t>
        </is>
      </c>
      <c r="E122" s="77" t="n">
        <v>767367847.5204</v>
      </c>
      <c r="F122" s="75" t="n">
        <v>46314</v>
      </c>
      <c r="G122" s="78" t="n">
        <v>40</v>
      </c>
      <c r="H122" s="76" t="inlineStr">
        <is>
          <t>Future</t>
        </is>
      </c>
    </row>
    <row r="123">
      <c r="A123" s="75" t="n">
        <v>46314</v>
      </c>
      <c r="B123" s="76" t="inlineStr">
        <is>
          <t>PT Syngenta Indonesia</t>
        </is>
      </c>
      <c r="C123" s="76" t="inlineStr">
        <is>
          <t>PT.PSI/PT.SSI/TC-MLG/43/2026</t>
        </is>
      </c>
      <c r="D123" s="76" t="inlineStr">
        <is>
          <t>Tooling</t>
        </is>
      </c>
      <c r="E123" s="77" t="n">
        <v>4761468367.9458</v>
      </c>
      <c r="F123" s="75" t="n">
        <v>46314</v>
      </c>
      <c r="G123" s="78" t="n">
        <v>40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PT.PSI/PT.SSI/TC-MLG/44/2026</t>
        </is>
      </c>
      <c r="D124" s="76" t="inlineStr">
        <is>
          <t>Tooling</t>
        </is>
      </c>
      <c r="E124" s="77" t="n">
        <v>442076465.292</v>
      </c>
      <c r="F124" s="75" t="n">
        <v>46314</v>
      </c>
      <c r="G124" s="78" t="n">
        <v>40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PT.PSI/PT.SSI/TC-MLG/44/2026</t>
        </is>
      </c>
      <c r="D125" s="76" t="inlineStr">
        <is>
          <t>Tooling</t>
        </is>
      </c>
      <c r="E125" s="77" t="n">
        <v>444456984.744</v>
      </c>
      <c r="F125" s="75" t="n">
        <v>46314</v>
      </c>
      <c r="G125" s="78" t="n">
        <v>40</v>
      </c>
      <c r="H125" s="76" t="inlineStr">
        <is>
          <t>Future</t>
        </is>
      </c>
    </row>
    <row r="126">
      <c r="A126" s="75" t="n">
        <v>46325</v>
      </c>
      <c r="B126" s="76" t="inlineStr">
        <is>
          <t>PT Syngenta Indonesia</t>
        </is>
      </c>
      <c r="C126" s="76" t="inlineStr">
        <is>
          <t>PT.PSI/PT.SSI/TC-MLG/45/2026</t>
        </is>
      </c>
      <c r="D126" s="76" t="inlineStr">
        <is>
          <t>Tooling</t>
        </is>
      </c>
      <c r="E126" s="77" t="n">
        <v>337392787.2479999</v>
      </c>
      <c r="F126" s="75" t="n">
        <v>46325</v>
      </c>
      <c r="G126" s="78" t="n">
        <v>51</v>
      </c>
      <c r="H126" s="76" t="inlineStr">
        <is>
          <t>Future</t>
        </is>
      </c>
    </row>
    <row r="127">
      <c r="A127" s="75" t="n">
        <v>46325</v>
      </c>
      <c r="B127" s="76" t="inlineStr">
        <is>
          <t>PT Syngenta Indonesia</t>
        </is>
      </c>
      <c r="C127" s="76" t="inlineStr">
        <is>
          <t>PT.PSI/PT.SSI/TC-MLG/46/2026</t>
        </is>
      </c>
      <c r="D127" s="76" t="inlineStr">
        <is>
          <t>Tooling</t>
        </is>
      </c>
      <c r="E127" s="77" t="n">
        <v>8211508178.4966</v>
      </c>
      <c r="F127" s="75" t="n">
        <v>46325</v>
      </c>
      <c r="G127" s="78" t="n">
        <v>51</v>
      </c>
      <c r="H127" s="76" t="inlineStr">
        <is>
          <t>Future</t>
        </is>
      </c>
    </row>
    <row r="128">
      <c r="A128" s="75" t="n">
        <v>46325</v>
      </c>
      <c r="B128" s="76" t="inlineStr">
        <is>
          <t>PT Syngenta Indonesia</t>
        </is>
      </c>
      <c r="C128" s="76" t="inlineStr">
        <is>
          <t>PT.PSI/PT.SSI/TC-PAS 2/47/2026</t>
        </is>
      </c>
      <c r="D128" s="76" t="inlineStr">
        <is>
          <t>Tooling</t>
        </is>
      </c>
      <c r="E128" s="77" t="n">
        <v>903022062.8508</v>
      </c>
      <c r="F128" s="75" t="n">
        <v>46325</v>
      </c>
      <c r="G128" s="78" t="n">
        <v>51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PT.PSI/PT.SSI/TC-PAS 2/48/2026</t>
        </is>
      </c>
      <c r="D129" s="76" t="inlineStr">
        <is>
          <t>Tooling</t>
        </is>
      </c>
      <c r="E129" s="77" t="n">
        <v>1912679476.3662</v>
      </c>
      <c r="F129" s="75" t="n">
        <v>46325</v>
      </c>
      <c r="G129" s="78" t="n">
        <v>51</v>
      </c>
      <c r="H129" s="76" t="inlineStr">
        <is>
          <t>Future</t>
        </is>
      </c>
    </row>
    <row r="130">
      <c r="A130" s="75" t="n">
        <v>46328</v>
      </c>
      <c r="B130" s="76" t="inlineStr">
        <is>
          <t>PT Syngenta Indonesia</t>
        </is>
      </c>
      <c r="C130" s="76" t="inlineStr">
        <is>
          <t>PT.PSI/PT.SSI/TC-PAS 2/49/2026</t>
        </is>
      </c>
      <c r="D130" s="76" t="inlineStr">
        <is>
          <t>Tooling</t>
        </is>
      </c>
      <c r="E130" s="77" t="n">
        <v>479734948.6272</v>
      </c>
      <c r="F130" s="75" t="n">
        <v>46328</v>
      </c>
      <c r="G130" s="78" t="n">
        <v>54</v>
      </c>
      <c r="H130" s="76" t="inlineStr">
        <is>
          <t>Future</t>
        </is>
      </c>
    </row>
    <row r="131">
      <c r="A131" s="75" t="n">
        <v>46328</v>
      </c>
      <c r="B131" s="76" t="inlineStr">
        <is>
          <t>PT Syngenta Indonesia</t>
        </is>
      </c>
      <c r="C131" s="76" t="inlineStr">
        <is>
          <t>PT.PSI/PT.SSI/TC-MLG/50/2026</t>
        </is>
      </c>
      <c r="D131" s="76" t="inlineStr">
        <is>
          <t>Tooling</t>
        </is>
      </c>
      <c r="E131" s="77" t="n">
        <v>3340238430.648</v>
      </c>
      <c r="F131" s="75" t="n">
        <v>46328</v>
      </c>
      <c r="G131" s="78" t="n">
        <v>54</v>
      </c>
      <c r="H131" s="76" t="inlineStr">
        <is>
          <t>Future</t>
        </is>
      </c>
    </row>
    <row r="132">
      <c r="A132" s="75" t="n">
        <v>46328</v>
      </c>
      <c r="B132" s="76" t="inlineStr">
        <is>
          <t>PT Syngenta Indonesia</t>
        </is>
      </c>
      <c r="C132" s="76" t="inlineStr">
        <is>
          <t>PT.PSI/PT.SSI/TC-PAS 2/51/2026</t>
        </is>
      </c>
      <c r="D132" s="76" t="inlineStr">
        <is>
          <t>Tooling</t>
        </is>
      </c>
      <c r="E132" s="77" t="n">
        <v>530510117.7436</v>
      </c>
      <c r="F132" s="75" t="n">
        <v>46328</v>
      </c>
      <c r="G132" s="78" t="n">
        <v>54</v>
      </c>
      <c r="H132" s="76" t="inlineStr">
        <is>
          <t>Future</t>
        </is>
      </c>
    </row>
    <row r="133">
      <c r="A133" s="39" t="inlineStr">
        <is>
          <t>Grand Total</t>
        </is>
      </c>
      <c r="B133" s="79" t="n"/>
      <c r="C133" s="79" t="n"/>
      <c r="D133" s="79" t="n"/>
      <c r="E133" s="80">
        <f>SUM(E5:E132)</f>
        <v/>
      </c>
      <c r="F133" s="79" t="n"/>
      <c r="G133" s="79" t="n"/>
      <c r="H133" s="79" t="n"/>
    </row>
  </sheetData>
  <autoFilter ref="A4:H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271658880.6427027</v>
      </c>
      <c r="BF8" s="36" t="n">
        <v>2258830867.798739</v>
      </c>
      <c r="BG8" s="85" t="n">
        <v>0</v>
      </c>
      <c r="BH8" s="86" t="n">
        <v>882085415.7499999</v>
      </c>
      <c r="BI8" s="36" t="n">
        <v>-882085415.7499999</v>
      </c>
      <c r="BJ8" s="85" t="n">
        <v>1274206673.07</v>
      </c>
      <c r="BK8" s="86" t="n">
        <v>990203785.35</v>
      </c>
      <c r="BL8" s="36" t="n">
        <v>284002887.7199999</v>
      </c>
      <c r="BM8" s="85" t="n">
        <v>1023319689.27</v>
      </c>
      <c r="BN8" s="86" t="n">
        <v>3375878033.99</v>
      </c>
      <c r="BO8" s="36" t="n">
        <v>-2352558344.72</v>
      </c>
      <c r="BP8" s="85" t="n">
        <v>273596041.87</v>
      </c>
      <c r="BQ8" s="86" t="n">
        <v>0</v>
      </c>
      <c r="BR8" s="36" t="n">
        <v>273596041.87</v>
      </c>
      <c r="BS8" s="85" t="n">
        <v>3129236722.02</v>
      </c>
      <c r="BT8" s="86" t="n">
        <v>0</v>
      </c>
      <c r="BU8" s="36" t="n">
        <v>3129236722.02</v>
      </c>
      <c r="BV8" s="40" t="n">
        <v>150038390289.4354</v>
      </c>
      <c r="BW8" s="40" t="n">
        <v>150038390289.4354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29377101039.4902</v>
      </c>
      <c r="BQ13" s="86" t="n">
        <v>28030628630.4514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156023763296.5729</v>
      </c>
      <c r="BW13" s="40" t="n">
        <v>156023763296.5729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211848</v>
      </c>
      <c r="BF19" s="91" t="n">
        <v>1913803</v>
      </c>
      <c r="BG19" s="89" t="n">
        <v>0</v>
      </c>
      <c r="BH19" s="90" t="n">
        <v>751392</v>
      </c>
      <c r="BI19" s="91" t="n">
        <v>-751392</v>
      </c>
      <c r="BJ19" s="89" t="n">
        <v>993895</v>
      </c>
      <c r="BK19" s="90" t="n">
        <v>765556</v>
      </c>
      <c r="BL19" s="91" t="n">
        <v>228339</v>
      </c>
      <c r="BM19" s="89" t="n">
        <v>822918</v>
      </c>
      <c r="BN19" s="90" t="n">
        <v>953516</v>
      </c>
      <c r="BO19" s="91" t="n">
        <v>-130598</v>
      </c>
      <c r="BP19" s="89" t="n">
        <v>161772</v>
      </c>
      <c r="BQ19" s="90" t="n">
        <v>0</v>
      </c>
      <c r="BR19" s="91" t="n">
        <v>161772</v>
      </c>
      <c r="BS19" s="89" t="n">
        <v>798609</v>
      </c>
      <c r="BT19" s="90" t="n">
        <v>0</v>
      </c>
      <c r="BU19" s="91" t="n">
        <v>798609</v>
      </c>
      <c r="BV19" s="92" t="n">
        <v>52709122</v>
      </c>
      <c r="BW19" s="92" t="n">
        <v>52709122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7131689</v>
      </c>
      <c r="BQ24" s="90" t="n">
        <v>6773940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44027650.01</v>
      </c>
      <c r="BW24" s="92" t="n">
        <v>44027650.01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1730529151.596482</v>
      </c>
      <c r="BN30" s="86" t="n">
        <v>1736909487.306482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26521753016.13084</v>
      </c>
      <c r="BW30" s="40" t="n">
        <v>26511753016.13084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4403332.23</v>
      </c>
      <c r="BN39" s="90" t="n">
        <v>4682071.23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37588374.53</v>
      </c>
      <c r="BW39" s="92" t="n">
        <v>37588374.53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9284375265.819054</v>
      </c>
      <c r="C12" s="36" t="n">
        <v>14358678838.51815</v>
      </c>
      <c r="D12" s="100" t="n">
        <v>-5074303572.6991</v>
      </c>
      <c r="E12" s="98" t="n">
        <v>1.546542274242235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12041589098.57968</v>
      </c>
      <c r="C13" s="36" t="n">
        <v>8523861993.219052</v>
      </c>
      <c r="D13" s="97" t="n">
        <v>3517727105.360625</v>
      </c>
      <c r="E13" s="98" t="n">
        <v>0.7078685315897761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9347962197.674297</v>
      </c>
      <c r="C14" s="36" t="n">
        <v>9767838169.155153</v>
      </c>
      <c r="D14" s="100" t="n">
        <v>-419875971.4808559</v>
      </c>
      <c r="E14" s="98" t="n">
        <v>1.044916310378889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23042319830.30775</v>
      </c>
      <c r="C15" s="36" t="n">
        <v>11894352978.39672</v>
      </c>
      <c r="D15" s="97" t="n">
        <v>11147966851.91103</v>
      </c>
      <c r="E15" s="98" t="n">
        <v>0.5161959848657243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31202318295.1414</v>
      </c>
      <c r="C16" s="36" t="n">
        <v>45042578007.53642</v>
      </c>
      <c r="D16" s="100" t="n">
        <v>-13840259712.39503</v>
      </c>
      <c r="E16" s="98" t="n">
        <v>1.443565108896095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8043733581.978172</v>
      </c>
      <c r="D17" s="100" t="n">
        <v>-8043733581.978172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2026-09-09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2026-09-09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2026-09-09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2026-09-09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2026-09-09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2026-09-09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2026-09-09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2026-09-09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2026-09-09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2026-09-09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2026-09-09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2026-09-09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2026-09-09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2026-09-09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2026-09-09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2026-09-09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2026-09-09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2026-09-09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2026-09-09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2026-09-09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2026-09-09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2026-09-09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2026-09-09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2026-09-09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2026-09-09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2026-09-09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2026-09-09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2026-09-09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2026-09-09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2026-09-09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2026-09-09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2026-09-09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2026-09-09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2026-09-09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2026-09-09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2026-09-09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2026-09-09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2026-09-09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2026-09-09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2026-09-09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2026-09-09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2026-09-09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2026-09-09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2026-09-09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2026-09-09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2026-09-09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2026-09-09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2026-09-09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2026-09-09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2026-09-09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2026-09-09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2026-09-09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2026-09-09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2026-09-09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2026-09-09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2026-09-09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2026-09-09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2026-09-09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2026-09-09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2026-09-09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2026-09-09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2026-09-09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2026-09-09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2026-09-09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2026-09-09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2026-09-09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2026-09-09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2026-09-09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2026-09-09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2026-09-09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2026-09-09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2026-09-09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2026-09-09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2026-09-09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2026-09-09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2026-09-09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2026-09-09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2026-09-09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2026-09-09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2026-09-09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2026-09-09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2026-09-09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2026-09-09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2026-09-09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2026-09-09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2026-09-09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2026-09-09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2026-09-09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2026-09-09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2026-09-09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2026-09-09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2026-09-09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2026-09-09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2026-09-09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2026-09-09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2026-09-09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2026-09-09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2026-09-09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2026-09-09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2026-09-09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2026-09-09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2026-09-09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2026-09-09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2026-09-09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2026-09-09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2026-09-09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2026-09-09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2026-09-09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2026-09-09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2026-09-09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2026-09-09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2026-09-09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2026-09-09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2026-09-09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2026-09-09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2026-09-09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2026-09-09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2026-09-09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2026-09-09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2026-09-09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2026-09-09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2026-09-09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2026-09-09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2026-09-09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2026-09-09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2026-09-09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2026-09-09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2026-09-09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2026-09-09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2026-09-09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2026-09-09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2026-09-09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2026-09-09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2026-09-09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2026-09-09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2026-09-09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2026-09-09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2026-09-09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2026-09-09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2026-09-09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2026-09-09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2026-09-09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2026-09-09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2026-09-09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2026-09-09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2026-09-09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2026-09-09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2026-09-09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2026-09-09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2026-09-09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2026-09-09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2026-09-09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2026-09-09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2026-09-09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2026-09-09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2026-09-09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2026-09-09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2026-09-09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2026-09-09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2026-09-09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2026-09-09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2026-09-09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2026-09-09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2026-09-09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2026-09-09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2026-09-09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2026-09-09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2026-09-09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2026-09-09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2026-09-09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2026-09-09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2026-09-09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2026-09-09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2026-09-09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2026-09-09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2026-09-09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2026-09-09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2026-09-09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2026-09-09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2026-09-09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2026-09-09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2026-09-09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2026-09-09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2026-09-09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2026-09-09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2026-09-09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2026-09-09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2026-09-09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2026-09-09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2026-09-09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2026-09-09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2026-09-09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2026-09-09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2026-09-09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2026-09-09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2026-09-09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2026-09-09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2026-09-09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2026-09-09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2026-09-09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2026-09-09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2026-09-09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2026-09-09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2026-09-09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2026-09-09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2026-09-09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2026-09-09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2026-09-09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2026-09-09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2026-09-09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2026-09-09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2026-09-09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2026-09-09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2026-09-09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2026-09-09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2026-09-09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2026-09-09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2026-09-09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2026-09-09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2026-09-09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2026-09-09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2026-09-09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2026-09-09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2026-09-09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2026-09-09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2026-09-09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2026-09-09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2026-09-09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2026-09-09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2026-09-09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2026-09-09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2026-09-09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2026-09-09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2026-09-09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2026-09-09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2026-09-09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2026-09-09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2026-09-09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2026-09-09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2026-09-09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2026-09-09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2026-09-09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2026-09-09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2026-09-09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2026-09-09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2026-09-09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2026-09-09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2026-09-09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2026-09-09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2026-09-09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2026-09-09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2026-09-09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2026-09-09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2026-09-09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2026-09-09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2026-09-09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2026-09-09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2026-09-09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2026-09-09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2026-09-09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2026-09-09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2026-09-09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2026-09-09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2026-09-09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2026-09-09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2026-09-09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2026-09-09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2026-09-09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2026-09-09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2026-09-09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2026-09-09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2026-09-09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2026-09-09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2026-09-09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2026-09-09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2026-09-09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2026-09-09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2026-09-09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2026-09-09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2026-09-09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2026-09-09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2026-09-09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2026-09-09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2026-09-09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2026-09-09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2026-09-09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2026-09-09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2026-09-09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2026-09-09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2026-09-09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2026-09-09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2026-09-09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2026-09-09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2026-09-09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2026-09-09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2026-09-09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2026-09-09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2026-09-09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2026-09-09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2026-09-09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2026-09-09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2026-09-09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2026-09-09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2026-09-09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2026-09-09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2026-09-09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2026-09-09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2026-09-09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2026-09-09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2026-09-09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2026-09-09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2026-09-09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2026-09-09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2026-09-09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2026-09-09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2026-09-09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2026-09-09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2026-09-09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2026-09-09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2026-09-09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2026-09-09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2026-09-09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2026-09-09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2026-09-09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2026-09-09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2026-09-09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2026-09-09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2026-09-09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2026-09-09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2026-09-09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2026-09-09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2026-09-09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2026-09-09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2026-09-09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2026-09-09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2026-09-09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2026-09-09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2026-09-09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2026-09-09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2026-09-09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2026-09-09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2026-09-09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2026-09-09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2026-09-09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2026-09-09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2026-09-09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2026-09-09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2026-09-09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2026-09-09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2026-09-09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2026-09-09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2026-09-09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2026-09-09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2026-09-09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2026-09-09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2026-09-09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2026-09-09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2026-09-09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2026-09-09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2026-09-09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2026-09-09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2026-09-09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2026-09-09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2026-09-09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2026-09-09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2026-09-09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2026-09-09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2026-09-09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2026-09-09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2026-09-09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2026-09-09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2026-09-09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2026-09-09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2026-09-09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2026-09-09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2026-09-09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2026-09-09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2026-09-09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2026-09-09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2026-09-09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2026-09-09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2026-09-09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2026-09-09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2026-09-09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2026-09-09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2026-09-09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2026-09-09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2026-09-09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2026-09-09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2026-09-09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2026-09-09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2026-09-09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2026-09-09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2026-09-09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2026-09-09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2026-09-09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2026-09-09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2026-09-09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2026-09-09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2026-09-09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2026-09-09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2026-09-09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2026-09-09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2026-09-09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2026-09-09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2026-09-09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2026-09-09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2026-09-09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2026-09-09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2026-09-09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2026-09-09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2026-09-09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2026-09-09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2026-09-09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2026-09-09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2026-09-09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2026-09-09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2026-09-09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2026-09-09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2026-09-09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2026-09-09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2026-09-09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2026-09-09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2026-09-09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2026-09-09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2026-09-09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2026-09-09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2026-09-09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2026-09-09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2026-09-09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2026-09-09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2026-09-09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2026-09-09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2026-09-09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2026-09-09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2026-09-09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2026-09-09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2026-09-09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2026-09-09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2026-09-09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2026-09-09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2026-09-09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2026-09-09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2026-09-09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2026-09-09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2026-09-09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2026-09-09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2026-09-09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2026-09-09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2026-09-09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2026-09-09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2026-09-09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2026-09-09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2026-09-09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2026-09-09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2026-09-09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2026-09-09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2026-09-09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2026-09-09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2026-09-09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2026-09-09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2026-09-09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2026-09-09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2026-09-09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2026-09-09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2026-09-09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2026-09-09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2026-09-09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2026-09-09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2026-09-09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2026-09-09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2026-09-09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2026-09-09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2026-09-09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2026-09-09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2026-09-09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2026-09-09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2026-09-09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2026-09-09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2026-09-09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2026-09-09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2026-09-09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2026-09-09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2026-09-09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2026-09-09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2026-09-09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2026-09-09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2026-09-09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2026-09-09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2026-09-09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2026-09-09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2026-09-09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2026-09-09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2026-09-09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2026-09-09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2026-09-09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2026-09-09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2026-09-09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2026-09-09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2026-09-09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2026-09-09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2026-09-09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2026-09-09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2026-09-09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2026-09-09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2026-09-09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2026-09-09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2026-09-09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2026-09-09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2026-09-09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2026-09-09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2026-09-09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2026-09-09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2026-09-09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2026-09-09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2026-09-09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2026-09-09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2026-09-09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2026-09-09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2026-09-09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2026-09-09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2026-09-09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2026-09-09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2026-09-09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2026-09-09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2026-09-09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2026-09-09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2026-09-09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2026-09-09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2026-09-09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2026-09-09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2026-09-09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2026-09-09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2026-09-09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2026-09-09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2026-09-09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2026-09-09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2026-09-09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2026-09-09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2026-09-09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2026-09-09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2026-09-09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2026-09-09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2026-09-09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2026-09-09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2026-09-09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2026-09-09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2026-09-09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2026-09-09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2026-09-09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2026-09-09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2026-09-09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2026-09-09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2026-09-09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2026-09-09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2026-09-09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2026-09-09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2026-09-09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2026-09-09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2026-09-09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2026-09-09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2026-09-09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2026-09-09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2026-09-09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2026-09-09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2026-09-09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2026-09-09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2026-09-09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2026-09-09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2026-09-09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2026-09-09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2026-09-09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2026-09-09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2026-09-09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2026-09-09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2026-09-09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2026-09-09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2026-09-09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2026-09-09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2026-09-09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2026-09-09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2026-09-09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2026-09-09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2026-09-09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2026-09-09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2026-09-09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2026-09-09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2026-09-09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2026-09-09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2026-09-09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2026-09-09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2026-09-09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2026-09-09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2026-09-09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2026-09-09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2026-09-09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2026-09-09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2026-09-09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2026-09-09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2026-09-09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2026-09-09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2026-09-09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2026-09-09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2026-09-09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2026-09-09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2026-09-09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2026-09-09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2026-09-09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2026-09-09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2026-09-09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2026-09-09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2026-09-09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2026-09-09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2026-09-09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2026-09-09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2026-09-09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2026-09-09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2026-09-09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2026-09-09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2026-09-09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2026-09-09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2026-09-09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2026-09-09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2026-09-09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2026-09-09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2026-09-09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2026-09-09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2026-09-09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2026-09-09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2026-09-09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2026-09-09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2026-09-09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2026-09-09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2026-09-09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2026-09-09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2026-09-09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2026-09-09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2026-09-09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2026-09-09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2026-09-09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2026-09-09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2026-09-09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2026-09-09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2026-09-09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2026-09-09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2026-09-09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2026-09-09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2026-09-09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2026-09-09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2026-09-09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2026-09-09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2026-09-09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2026-09-09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2026-09-09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2026-09-09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2026-09-09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2026-09-09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2026-09-09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2026-09-09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2026-09-09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2026-09-09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2026-09-09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2026-09-09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2026-09-09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2026-09-09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2026-09-09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2026-09-09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2026-09-09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2026-09-09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2026-09-09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2026-09-09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2026-09-09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2026-09-09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2026-09-09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2026-09-09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2026-09-09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2026-09-09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2026-09-09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2026-09-09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2026-09-09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2026-09-09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2026-09-09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2026-09-09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2026-09-09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2026-09-09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2026-09-09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2026-09-09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2026-09-09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2026-09-09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2026-09-09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2026-09-09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2026-09-09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2026-09-09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2026-09-09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2026-09-09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2026-09-09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2026-09-09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2026-09-09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2026-09-09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2026-09-09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2026-09-09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2026-09-09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2026-09-09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2026-09-09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2026-09-09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2026-09-09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2026-09-09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2026-09-09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2026-09-09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2026-09-09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2026-09-09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2026-09-09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2026-09-09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2026-09-09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2026-09-09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2026-09-09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2026-09-09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2026-09-09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2026-09-09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2026-09-09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2026-09-09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2026-09-09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2026-09-09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2026-09-09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2026-09-09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2026-09-09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2026-09-09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2026-09-09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2026-09-09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2026-09-09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2026-09-09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2026-09-09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2026-09-09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2026-09-09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2026-09-09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2026-09-09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2026-09-09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2026-09-09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2026-09-09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2026-09-09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2026-09-09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2026-09-09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2026-09-09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2026-09-09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2026-09-09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2026-09-09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2026-09-09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2026-09-09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2026-09-09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2026-09-09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2026-09-09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2026-09-09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2026-09-09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2026-09-09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2026-09-09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2026-09-09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2026-09-09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2026-09-09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2026-09-09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2026-09-09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2026-09-09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2026-09-09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2026-09-09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2026-09-09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2026-09-09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2026-09-09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2026-09-09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2026-09-09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2026-09-09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2026-09-09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2026-09-09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2026-09-09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2026-09-09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2026-09-09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2026-09-09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2026-09-09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2026-09-09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2026-09-09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2026-09-09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2026-09-09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2026-09-09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2026-09-09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2026-09-09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2026-09-09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2026-09-09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2026-09-09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2026-09-09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2026-09-09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2026-09-09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2026-09-09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2026-09-09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2026-09-09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2026-09-09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2026-09-09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2026-09-09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2026-09-09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2026-09-09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2026-09-09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2026-09-09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2026-09-09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2026-09-09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2026-09-09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2026-09-09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2026-09-09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2026-09-09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2026-09-09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2026-09-09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2026-09-09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2026-09-09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2026-09-09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2026-09-09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2026-09-09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2026-09-09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2026-09-09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2026-09-09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2026-09-09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2026-09-09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2026-09-09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2026-09-09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2026-09-09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2026-09-09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2026-09-09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2026-09-09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2026-09-09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2026-09-09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2026-09-09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2026-09-09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2026-09-09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2026-09-09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2026-09-09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2026-09-09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2026-09-09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2026-09-09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2026-09-09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2026-09-09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2026-09-09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2026-09-09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2026-09-09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2026-09-09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2026-09-09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2026-09-09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2026-09-09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2026-09-09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2026-09-09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2026-09-09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2026-09-09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2026-09-09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2026-09-09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2026-09-09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2026-09-09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2026-09-09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2026-09-09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2026-09-09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2026-09-09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2026-09-09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2026-09-09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2026-09-09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2026-09-09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2026-09-09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2026-09-09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2026-09-09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2026-09-09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2026-09-09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2026-09-09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2026-09-09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2026-09-09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2026-09-09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2026-09-09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2026-09-09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2026-09-09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2026-09-09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2026-09-09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2026-09-09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2026-09-09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2026-09-09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2026-09-09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2026-09-09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2026-09-09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2026-09-09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2026-09-09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2026-09-09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2026-09-09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2026-09-09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2026-09-09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2026-09-09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2026-09-09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2026-09-09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2026-09-09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2026-09-09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2026-09-09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2026-09-09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2026-09-09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2026-09-09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2026-09-09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2026-09-09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2026-09-09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2026-09-09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2026-09-09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2026-09-09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2026-09-09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2026-09-09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2026-09-09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2026-09-09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2026-09-09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2026-09-09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2026-09-09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2026-09-09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2026-09-09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2026-09-09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2026-09-09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2026-09-09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2026-09-09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2026-09-09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2026-09-09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2026-09-09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2026-09-09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2026-09-09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2026-09-09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2026-09-09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2026-09-09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2026-09-09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2026-09-09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2026-09-09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2026-09-09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2026-09-09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2026-09-09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2026-09-09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2026-09-09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2026-09-09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2026-09-09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2026-09-09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2026-09-09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2026-09-09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2026-09-09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2026-09-09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2026-09-09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2026-09-09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2026-09-09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2026-09-09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2026-09-09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2026-09-09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2026-09-09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2026-09-09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2026-09-09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2026-09-09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2026-09-09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2026-09-09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2026-09-09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2026-09-09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2026-09-09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2026-09-09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2026-09-09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2026-09-09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2026-09-09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2026-09-09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2026-09-09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2026-09-09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2026-09-09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2026-09-09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2026-09-09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2026-09-09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2026-09-09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2026-09-09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2026-09-09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2026-09-09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2026-09-09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2026-09-09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2026-09-09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2026-09-09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2026-09-09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2026-09-09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2026-09-09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2026-09-09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2026-09-09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2026-09-09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26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2026-09-09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26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2026-09-09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2026-09-09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-4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2026-09-09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2026-09-09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2026-09-09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2026-09-09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2026-09-09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2026-09-09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2026-09-09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2026-09-09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2026-09-09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2026-09-09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2026-09-09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2026-09-09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-10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2026-09-09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-10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2026-09-09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2026-09-09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-12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2026-09-09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2026-09-09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2026-09-09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2026-09-09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2026-09-09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2026-09-09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2026-09-09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2026-09-09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2026-09-09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2026-09-09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2026-09-09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2026-09-09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2026-09-09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2026-09-09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2026-09-09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2026-09-09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2026-09-09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2026-09-09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2026-09-09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2026-09-09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4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2026-09-09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4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2026-09-09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-26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2026-09-09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-27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2026-09-09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2026-09-09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-27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2026-09-09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-27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2026-09-09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2026-09-09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-2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2026-09-09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-2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2026-09-09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-2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2026-09-09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2026-09-09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2026-09-09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2026-09-09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2026-09-09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2026-09-09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-18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2026-09-09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-18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2026-09-09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-18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2026-09-09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-18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2026-09-09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-18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2026-09-09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-18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2026-09-09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-18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2026-09-09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-18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2026-09-09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-18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2026-09-09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-18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2026-09-09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-18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2026-09-09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-34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2026-09-09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2026-09-09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-19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2026-09-09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-19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2026-09-09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-19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2026-09-09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-19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2026-09-09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-19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2026-09-09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-19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2026-09-09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-38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2026-09-09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-38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2026-09-09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-38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2026-09-09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-38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2026-09-09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2026-09-09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2026-09-09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2026-09-09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2026-09-09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2026-09-09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2026-09-09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-40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2026-09-09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-40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2026-09-09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-40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2026-09-09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-40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2026-09-09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-40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2026-09-09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-11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2026-09-09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-11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2026-09-09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-11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2026-09-09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-31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2026-09-09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-31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2026-09-09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-31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2026-09-09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-31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2026-09-09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-31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2026-09-09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-31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2026-09-09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-31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2026-09-09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-31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2026-09-09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2026-09-09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2026-09-09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-51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2026-09-09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-51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2026-09-09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-51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2026-09-09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-51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2026-09-09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-21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2026-09-09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-21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2026-09-09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-22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2026-09-09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-22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2026-09-09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-22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2026-09-09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-22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2026-09-09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-22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2026-09-09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-24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2026-09-09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-54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2026-09-09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-54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2026-09-09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-54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2026-09-09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-24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2026-09-09</t>
        </is>
      </c>
      <c r="B1093" s="103" t="inlineStr">
        <is>
          <t>PT Advanta Seeds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RENTAL CS</t>
        </is>
      </c>
      <c r="I1093" s="103" t="inlineStr">
        <is>
          <t>Rental</t>
        </is>
      </c>
      <c r="J1093" s="103" t="n"/>
      <c r="K1093" s="104" t="n">
        <v>46235</v>
      </c>
      <c r="L1093" s="104" t="n">
        <v>46265</v>
      </c>
      <c r="M1093" s="105" t="n">
        <v>2000000</v>
      </c>
      <c r="N1093" s="105" t="n">
        <v>777000000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2026-09-09</t>
        </is>
      </c>
      <c r="B1094" s="103" t="inlineStr">
        <is>
          <t>PT Advanta Seeds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RENTAL CS</t>
        </is>
      </c>
      <c r="I1094" s="103" t="inlineStr">
        <is>
          <t>Rental</t>
        </is>
      </c>
      <c r="J1094" s="103" t="n"/>
      <c r="K1094" s="104" t="n">
        <v>46235</v>
      </c>
      <c r="L1094" s="104" t="n">
        <v>46265</v>
      </c>
      <c r="M1094" s="105" t="n">
        <v>2270000</v>
      </c>
      <c r="N1094" s="105" t="n">
        <v>881895000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2026-09-09</t>
        </is>
      </c>
      <c r="B1095" s="103" t="inlineStr">
        <is>
          <t>PT Corteva Agriscience Seed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RENTAL CS</t>
        </is>
      </c>
      <c r="I1095" s="103" t="inlineStr">
        <is>
          <t>Rental</t>
        </is>
      </c>
      <c r="J1095" s="103" t="n"/>
      <c r="K1095" s="104" t="n">
        <v>46235</v>
      </c>
      <c r="L1095" s="104" t="n">
        <v>46265</v>
      </c>
      <c r="M1095" s="105" t="n">
        <v>1654962.70767742</v>
      </c>
      <c r="N1095" s="105" t="n">
        <v>593353779.5835853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2026-09-09</t>
        </is>
      </c>
      <c r="B1096" s="103" t="inlineStr">
        <is>
          <t>PT Corteva Agriscience Seed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COMM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46265</v>
      </c>
      <c r="M1096" s="105" t="n">
        <v>3169335</v>
      </c>
      <c r="N1096" s="105" t="n">
        <v>19267739602.35272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2026-09-09</t>
        </is>
      </c>
      <c r="B1097" s="103" t="inlineStr">
        <is>
          <t>PT Corteva Agriscience Seed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COMM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46265</v>
      </c>
      <c r="M1097" s="105" t="n">
        <v>972186.75</v>
      </c>
      <c r="N1097" s="105" t="n">
        <v>1688668005.285253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2026-09-09</t>
        </is>
      </c>
      <c r="B1098" s="103" t="inlineStr">
        <is>
          <t>PT Corteva Agriscience Seed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COMM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46265</v>
      </c>
      <c r="M1098" s="105" t="n">
        <v>47282</v>
      </c>
      <c r="N1098" s="105" t="n">
        <v>41063953.6364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2026-09-09</t>
        </is>
      </c>
      <c r="B1099" s="103" t="inlineStr">
        <is>
          <t>PT Corteva Agriscience Seed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PS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198569</v>
      </c>
      <c r="N1099" s="105" t="n">
        <v>2069461142.984025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2026-09-09</t>
        </is>
      </c>
      <c r="B1100" s="103" t="inlineStr">
        <is>
          <t>PT Corteva Agriscience Seed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PS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46265</v>
      </c>
      <c r="M1100" s="105" t="n">
        <v>100.8</v>
      </c>
      <c r="N1100" s="105" t="n">
        <v>262631.23047</v>
      </c>
      <c r="O1100" s="103" t="n"/>
      <c r="P1100" s="103" t="n"/>
      <c r="Q1100" s="103" t="inlineStr">
        <is>
          <t>0-30</t>
        </is>
      </c>
    </row>
    <row r="1101">
      <c r="A1101" s="103" t="inlineStr">
        <is>
          <t>2026-09-09</t>
        </is>
      </c>
      <c r="B1101" s="103" t="inlineStr">
        <is>
          <t>PT Corteva Agriscience Seed Indonesia</t>
        </is>
      </c>
      <c r="C1101" s="103" t="n"/>
      <c r="D1101" s="103" t="n"/>
      <c r="E1101" s="103" t="n"/>
      <c r="F1101" s="103" t="n"/>
      <c r="G1101" s="103" t="inlineStr">
        <is>
          <t>Pending</t>
        </is>
      </c>
      <c r="H1101" s="103" t="inlineStr">
        <is>
          <t>Reprocessing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46265</v>
      </c>
      <c r="M1101" s="105" t="n">
        <v>66126.5</v>
      </c>
      <c r="N1101" s="105" t="n">
        <v>22055832.81</v>
      </c>
      <c r="O1101" s="103" t="n"/>
      <c r="P1101" s="103" t="n"/>
      <c r="Q1101" s="103" t="inlineStr">
        <is>
          <t>0-30</t>
        </is>
      </c>
    </row>
    <row r="1102">
      <c r="A1102" s="103" t="inlineStr">
        <is>
          <t>2026-09-09</t>
        </is>
      </c>
      <c r="B1102" s="103" t="inlineStr">
        <is>
          <t>PT Corteva Agriscience Seed Indonesia</t>
        </is>
      </c>
      <c r="C1102" s="103" t="n"/>
      <c r="D1102" s="103" t="n"/>
      <c r="E1102" s="103" t="n"/>
      <c r="F1102" s="103" t="n"/>
      <c r="G1102" s="103" t="inlineStr">
        <is>
          <t>Pending</t>
        </is>
      </c>
      <c r="H1102" s="103" t="inlineStr">
        <is>
          <t>Reprocessing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46265</v>
      </c>
      <c r="M1102" s="105" t="n">
        <v>19753.5</v>
      </c>
      <c r="N1102" s="105" t="n">
        <v>4866077.189999999</v>
      </c>
      <c r="O1102" s="103" t="n"/>
      <c r="P1102" s="103" t="n"/>
      <c r="Q1102" s="103" t="inlineStr">
        <is>
          <t>0-30</t>
        </is>
      </c>
    </row>
    <row r="1103">
      <c r="A1103" s="103" t="inlineStr">
        <is>
          <t>2026-09-09</t>
        </is>
      </c>
      <c r="B1103" s="103" t="inlineStr">
        <is>
          <t>PT Corteva Agriscience Seed Indonesia</t>
        </is>
      </c>
      <c r="C1103" s="103" t="n"/>
      <c r="D1103" s="103" t="n"/>
      <c r="E1103" s="103" t="n"/>
      <c r="F1103" s="103" t="n"/>
      <c r="G1103" s="103" t="inlineStr">
        <is>
          <t>Pending</t>
        </is>
      </c>
      <c r="H1103" s="103" t="inlineStr">
        <is>
          <t>Reprocessing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46265</v>
      </c>
      <c r="M1103" s="105" t="n">
        <v>24250.5</v>
      </c>
      <c r="N1103" s="105" t="n">
        <v>7242654.329999999</v>
      </c>
      <c r="O1103" s="103" t="n"/>
      <c r="P1103" s="103" t="n"/>
      <c r="Q1103" s="103" t="inlineStr">
        <is>
          <t>0-30</t>
        </is>
      </c>
    </row>
    <row r="1104">
      <c r="A1104" s="103" t="inlineStr">
        <is>
          <t>2026-09-09</t>
        </is>
      </c>
      <c r="B1104" s="103" t="inlineStr">
        <is>
          <t>PT Syngenta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COMM</t>
        </is>
      </c>
      <c r="I1104" s="103" t="inlineStr">
        <is>
          <t>Tooling</t>
        </is>
      </c>
      <c r="J1104" s="103" t="n"/>
      <c r="K1104" s="104" t="n">
        <v>46235</v>
      </c>
      <c r="L1104" s="104" t="n">
        <v>46265</v>
      </c>
      <c r="M1104" s="105" t="n">
        <v>1878336</v>
      </c>
      <c r="N1104" s="105" t="n">
        <v>7266583243.008001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2026-09-09</t>
        </is>
      </c>
      <c r="B1105" s="103" t="inlineStr">
        <is>
          <t>PT Syngenta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1660000</v>
      </c>
      <c r="N1105" s="105" t="n">
        <v>552691555.2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2026-09-09</t>
        </is>
      </c>
      <c r="B1106" s="103" t="inlineStr">
        <is>
          <t>PT Syngenta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RENTAL CS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1660000</v>
      </c>
      <c r="N1106" s="105" t="n">
        <v>552691555.2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2026-09-09</t>
        </is>
      </c>
      <c r="B1107" s="103" t="inlineStr">
        <is>
          <t>PT Syngenta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RENTAL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855000</v>
      </c>
      <c r="N1107" s="105" t="n">
        <v>71167361.40000001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2026-09-09</t>
        </is>
      </c>
      <c r="B1108" s="103" t="inlineStr">
        <is>
          <t>PT Syngenta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3600000</v>
      </c>
      <c r="N1108" s="105" t="n">
        <v>299652048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2026-09-09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PS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855189</v>
      </c>
      <c r="N1109" s="105" t="n">
        <v>5789714193.710999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2026-09-09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4000000</v>
      </c>
      <c r="N1110" s="105" t="n">
        <v>1605326400</v>
      </c>
      <c r="O1110" s="103" t="n"/>
      <c r="P1110" s="103" t="n"/>
      <c r="Q1110" s="103" t="inlineStr">
        <is>
          <t>0-30</t>
        </is>
      </c>
    </row>
  </sheetData>
  <autoFilter ref="A1:Q11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2026-09-09T02:25:00Z</dcterms:created>
  <dcterms:modified xmlns:dcterms="http://purl.org/dc/terms/" xmlns:xsi="http://www.w3.org/2001/XMLSchema-instance" xsi:type="dcterms:W3CDTF">2026-09-09T02:25:00Z</dcterms:modified>
</cp:coreProperties>
</file>