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Projection'!$A$4:$H$148</definedName>
    <definedName name="_xlnm._FilterDatabase" localSheetId="5" hidden="1">'Raw Data'!$A$1:$Q$1139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18 September 2026 - 13:49  |  Source: PSI AR Monitoring Master.xlsx</t>
        </is>
      </c>
    </row>
    <row r="5" ht="18" customHeight="1">
      <c r="A5" s="3" t="inlineStr">
        <is>
          <t>AR SNAPSHOT — as of 18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124469112080.6356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9881861406.880665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79467075085.77364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41588151239.00932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288825743044.3017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51512172303.18993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9881861406.880663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21999339.24</v>
      </c>
      <c r="J75" s="37">
        <f>SUM(B75:I75)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18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5520222156.92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-13</v>
      </c>
      <c r="H45" s="74" t="inlineStr">
        <is>
          <t>Overdue</t>
        </is>
      </c>
    </row>
    <row r="46">
      <c r="A46" s="73" t="n">
        <v>46283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46283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1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1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3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6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6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6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9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9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9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9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9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9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9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9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9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9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9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10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10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10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10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10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10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13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13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13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13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13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13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13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17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18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18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18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18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20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20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22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22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22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22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22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22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22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22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22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22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22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22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22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25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25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27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27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27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27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27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27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27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27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27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27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27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27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27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27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27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27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27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27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27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27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27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27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27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29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29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29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29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31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31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31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31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31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42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42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42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42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45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45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45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52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53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53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53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57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57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57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57</v>
      </c>
      <c r="H146" s="78" t="inlineStr">
        <is>
          <t>Future</t>
        </is>
      </c>
    </row>
    <row r="147">
      <c r="A147" s="77" t="n">
        <v>46341</v>
      </c>
      <c r="B147" s="78" t="inlineStr">
        <is>
          <t>PT Syngenta Indonesia</t>
        </is>
      </c>
      <c r="C147" s="78" t="inlineStr">
        <is>
          <t>PT.PSI/PT.SSI/RENTAL/43/IX/2026</t>
        </is>
      </c>
      <c r="D147" s="78" t="inlineStr">
        <is>
          <t>Rental</t>
        </is>
      </c>
      <c r="E147" s="79" t="n">
        <v>21999339.24</v>
      </c>
      <c r="F147" s="77" t="n">
        <v>46341</v>
      </c>
      <c r="G147" s="80" t="n">
        <v>58</v>
      </c>
      <c r="H147" s="78" t="inlineStr">
        <is>
          <t>Future</t>
        </is>
      </c>
    </row>
    <row r="148">
      <c r="A148" s="40" t="inlineStr">
        <is>
          <t>Grand Total</t>
        </is>
      </c>
      <c r="B148" s="81" t="n"/>
      <c r="C148" s="81" t="n"/>
      <c r="D148" s="81" t="n"/>
      <c r="E148" s="82">
        <f>SUM(E5:E147)</f>
        <v/>
      </c>
      <c r="F148" s="81" t="n"/>
      <c r="G148" s="81" t="n"/>
      <c r="H148" s="81" t="n"/>
    </row>
  </sheetData>
  <autoFilter ref="A4:H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38916131391.1</v>
      </c>
      <c r="BW10" s="41" t="n">
        <v>38892181373.73</v>
      </c>
      <c r="BX10" s="41" t="n">
        <v>23950017.36999512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20125908.5</v>
      </c>
      <c r="AQ19" s="93" t="n">
        <v>-20123452.5</v>
      </c>
      <c r="AR19" s="91" t="n">
        <v>20685887.5</v>
      </c>
      <c r="AS19" s="92" t="n">
        <v>3375285</v>
      </c>
      <c r="AT19" s="93" t="n">
        <v>17310602.5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1136630.6</v>
      </c>
      <c r="BK19" s="92" t="n">
        <v>983095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58165166.6</v>
      </c>
      <c r="BW19" s="94" t="n">
        <v>58165166.6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1383993</v>
      </c>
      <c r="AB20" s="93" t="n">
        <v>-800571.1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2857491.75</v>
      </c>
      <c r="AJ20" s="92" t="n">
        <v>3551088.7</v>
      </c>
      <c r="AK20" s="93" t="n">
        <v>-693596.9499999997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35868912.62</v>
      </c>
      <c r="BW20" s="94" t="n">
        <v>35868912.62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1322069000</v>
      </c>
      <c r="AK30" s="36" t="n">
        <v>-306839821.09</v>
      </c>
      <c r="AL30" s="87" t="n">
        <v>1322069000</v>
      </c>
      <c r="AM30" s="88" t="n">
        <v>1140173029</v>
      </c>
      <c r="AN30" s="36" t="n">
        <v>181895971</v>
      </c>
      <c r="AO30" s="87" t="n">
        <v>1140173029</v>
      </c>
      <c r="AP30" s="88" t="n">
        <v>1859290654.65</v>
      </c>
      <c r="AQ30" s="36" t="n">
        <v>-719117625.6500001</v>
      </c>
      <c r="AR30" s="87" t="n">
        <v>2080674647.7844</v>
      </c>
      <c r="AS30" s="88" t="n">
        <v>1791470992.5944</v>
      </c>
      <c r="AT30" s="36" t="n">
        <v>289203655.1900001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1592482721.77128</v>
      </c>
      <c r="BK30" s="88" t="n">
        <v>1728499765.79128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28458808010.54576</v>
      </c>
      <c r="BW30" s="41" t="n">
        <v>28448808010.54576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2028106327.264179</v>
      </c>
      <c r="AQ32" s="36" t="n">
        <v>-959857607.2641796</v>
      </c>
      <c r="AR32" s="87" t="n">
        <v>3529305989.335343</v>
      </c>
      <c r="AS32" s="88" t="n">
        <v>1984504875.105441</v>
      </c>
      <c r="AT32" s="36" t="n">
        <v>1544801114.229902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2782717066.12</v>
      </c>
      <c r="BR33" s="36" t="n">
        <v>-45211975.31999969</v>
      </c>
      <c r="BS33" s="87" t="n">
        <v>2782717066.12</v>
      </c>
      <c r="BT33" s="88" t="n">
        <v>0</v>
      </c>
      <c r="BU33" s="36" t="n">
        <v>2782717066.12</v>
      </c>
      <c r="BV33" s="41" t="n">
        <v>60570532605.62</v>
      </c>
      <c r="BW33" s="41" t="n">
        <v>59793527351.29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2119362</v>
      </c>
      <c r="V39" s="93" t="n">
        <v>-2119362</v>
      </c>
      <c r="W39" s="91" t="n">
        <v>0</v>
      </c>
      <c r="X39" s="92" t="n">
        <v>2084118</v>
      </c>
      <c r="Y39" s="93" t="n">
        <v>-2084118</v>
      </c>
      <c r="Z39" s="91" t="n">
        <v>7921010</v>
      </c>
      <c r="AA39" s="92" t="n">
        <v>2519607</v>
      </c>
      <c r="AB39" s="93" t="n">
        <v>5401403</v>
      </c>
      <c r="AC39" s="91" t="n">
        <v>2519607</v>
      </c>
      <c r="AD39" s="92" t="n">
        <v>2466027.9</v>
      </c>
      <c r="AE39" s="93" t="n">
        <v>53579.10000000009</v>
      </c>
      <c r="AF39" s="91" t="n">
        <v>2466027.9</v>
      </c>
      <c r="AG39" s="92" t="n">
        <v>2379219</v>
      </c>
      <c r="AH39" s="93" t="n">
        <v>86808.89999999991</v>
      </c>
      <c r="AI39" s="91" t="n">
        <v>2379219</v>
      </c>
      <c r="AJ39" s="92" t="n">
        <v>2691601</v>
      </c>
      <c r="AK39" s="93" t="n">
        <v>-312382</v>
      </c>
      <c r="AL39" s="91" t="n">
        <v>2691601</v>
      </c>
      <c r="AM39" s="92" t="n">
        <v>2579000</v>
      </c>
      <c r="AN39" s="93" t="n">
        <v>112601</v>
      </c>
      <c r="AO39" s="91" t="n">
        <v>2579000</v>
      </c>
      <c r="AP39" s="92" t="n">
        <v>4796485</v>
      </c>
      <c r="AQ39" s="93" t="n">
        <v>-2217485</v>
      </c>
      <c r="AR39" s="91" t="n">
        <v>4813770</v>
      </c>
      <c r="AS39" s="92" t="n">
        <v>4553399</v>
      </c>
      <c r="AT39" s="93" t="n">
        <v>260371</v>
      </c>
      <c r="AU39" s="91" t="n">
        <v>4556831.84</v>
      </c>
      <c r="AV39" s="92" t="n">
        <v>4774654.84</v>
      </c>
      <c r="AW39" s="93" t="n">
        <v>-217823</v>
      </c>
      <c r="AX39" s="91" t="n">
        <v>4769057.44</v>
      </c>
      <c r="AY39" s="92" t="n">
        <v>5462973.439999999</v>
      </c>
      <c r="AZ39" s="93" t="n">
        <v>-693915.9999999991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4096491.2</v>
      </c>
      <c r="BK39" s="92" t="n">
        <v>4369722.2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68975616.33</v>
      </c>
      <c r="BW39" s="94" t="n">
        <v>68975616.33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611069</v>
      </c>
      <c r="AB40" s="93" t="n">
        <v>-179505</v>
      </c>
      <c r="AC40" s="91" t="n">
        <v>611069</v>
      </c>
      <c r="AD40" s="92" t="n">
        <v>314000</v>
      </c>
      <c r="AE40" s="93" t="n">
        <v>297069</v>
      </c>
      <c r="AF40" s="91" t="n">
        <v>314000</v>
      </c>
      <c r="AG40" s="92" t="n">
        <v>630600</v>
      </c>
      <c r="AH40" s="93" t="n">
        <v>-316600</v>
      </c>
      <c r="AI40" s="91" t="n">
        <v>630600</v>
      </c>
      <c r="AJ40" s="92" t="n">
        <v>510000</v>
      </c>
      <c r="AK40" s="93" t="n">
        <v>120600</v>
      </c>
      <c r="AL40" s="91" t="n">
        <v>510000</v>
      </c>
      <c r="AM40" s="92" t="n">
        <v>510000</v>
      </c>
      <c r="AN40" s="93" t="n">
        <v>0</v>
      </c>
      <c r="AO40" s="91" t="n">
        <v>510000</v>
      </c>
      <c r="AP40" s="92" t="n">
        <v>510000</v>
      </c>
      <c r="AQ40" s="93" t="n">
        <v>0</v>
      </c>
      <c r="AR40" s="91" t="n">
        <v>510000</v>
      </c>
      <c r="AS40" s="92" t="n">
        <v>510000</v>
      </c>
      <c r="AT40" s="93" t="n">
        <v>0</v>
      </c>
      <c r="AU40" s="91" t="n">
        <v>510000</v>
      </c>
      <c r="AV40" s="92" t="n">
        <v>510000</v>
      </c>
      <c r="AW40" s="93" t="n">
        <v>0</v>
      </c>
      <c r="AX40" s="91" t="n">
        <v>510000</v>
      </c>
      <c r="AY40" s="92" t="n">
        <v>510000</v>
      </c>
      <c r="AZ40" s="93" t="n">
        <v>0</v>
      </c>
      <c r="BA40" s="91" t="n">
        <v>510000</v>
      </c>
      <c r="BB40" s="92" t="n">
        <v>510000</v>
      </c>
      <c r="BC40" s="93" t="n">
        <v>0</v>
      </c>
      <c r="BD40" s="91" t="n">
        <v>0</v>
      </c>
      <c r="BE40" s="92" t="n">
        <v>510000</v>
      </c>
      <c r="BF40" s="93" t="n">
        <v>-510000</v>
      </c>
      <c r="BG40" s="91" t="n">
        <v>1020000</v>
      </c>
      <c r="BH40" s="92" t="n">
        <v>510000</v>
      </c>
      <c r="BI40" s="93" t="n">
        <v>510000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8892095</v>
      </c>
      <c r="BW40" s="94" t="n">
        <v>8892095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1302427.236710863</v>
      </c>
      <c r="AN41" s="93" t="n">
        <v>-1302427.236710863</v>
      </c>
      <c r="AO41" s="91" t="n">
        <v>0</v>
      </c>
      <c r="AP41" s="92" t="n">
        <v>4071818.172061303</v>
      </c>
      <c r="AQ41" s="93" t="n">
        <v>-4071818.172061303</v>
      </c>
      <c r="AR41" s="91" t="n">
        <v>12374245.40877217</v>
      </c>
      <c r="AS41" s="92" t="n">
        <v>9777332.014193548</v>
      </c>
      <c r="AT41" s="93" t="n">
        <v>2596913.394578619</v>
      </c>
      <c r="AU41" s="91" t="n">
        <v>0</v>
      </c>
      <c r="AV41" s="92" t="n">
        <v>9159128.336774195</v>
      </c>
      <c r="AW41" s="93" t="n">
        <v>-9159128.336774195</v>
      </c>
      <c r="AX41" s="91" t="n">
        <v>9777332.014193548</v>
      </c>
      <c r="AY41" s="92" t="n">
        <v>8700837</v>
      </c>
      <c r="AZ41" s="93" t="n">
        <v>1076495.014193548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8186489.84</v>
      </c>
      <c r="BL41" s="93" t="n">
        <v>-6207339.961593314</v>
      </c>
      <c r="BM41" s="91" t="n">
        <v>8186489.84</v>
      </c>
      <c r="BN41" s="92" t="n">
        <v>8657728.66</v>
      </c>
      <c r="BO41" s="93" t="n">
        <v>-471238.8200000003</v>
      </c>
      <c r="BP41" s="91" t="n">
        <v>14000000</v>
      </c>
      <c r="BQ41" s="92" t="n">
        <v>9080839.26</v>
      </c>
      <c r="BR41" s="93" t="n">
        <v>4919160.74</v>
      </c>
      <c r="BS41" s="91" t="n">
        <v>3738567.92</v>
      </c>
      <c r="BT41" s="92" t="n">
        <v>0</v>
      </c>
      <c r="BU41" s="93" t="n">
        <v>3738567.92</v>
      </c>
      <c r="BV41" s="94" t="n">
        <v>83169030.3981466</v>
      </c>
      <c r="BW41" s="94" t="n">
        <v>83169030.3981466</v>
      </c>
      <c r="BX41" s="94" t="n">
        <v>0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12943592</v>
      </c>
      <c r="BR42" s="93" t="n">
        <v>-715112</v>
      </c>
      <c r="BS42" s="91" t="n">
        <v>12943592</v>
      </c>
      <c r="BT42" s="92" t="n">
        <v>0</v>
      </c>
      <c r="BU42" s="93" t="n">
        <v>12943592</v>
      </c>
      <c r="BV42" s="94" t="n">
        <v>272070629.5</v>
      </c>
      <c r="BW42" s="94" t="n">
        <v>272070629.5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56980681016.64686</v>
      </c>
      <c r="C16" s="36" t="n">
        <v>46667217084.43534</v>
      </c>
      <c r="D16" s="99" t="n">
        <v>10313463932.21152</v>
      </c>
      <c r="E16" s="100" t="n">
        <v>0.8190006902655578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41588151239.00932</v>
      </c>
      <c r="D17" s="102" t="n">
        <v>-35426029422.84853</v>
      </c>
      <c r="E17" s="100" t="n">
        <v>6.748998555974683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1267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1267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1267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2284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2221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2221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2198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2169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2184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2169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2141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2105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2065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2065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1827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1827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1827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1745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1745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1702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1692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1646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1646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1539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1402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1402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1381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1381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1245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1245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1245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1245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1036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606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606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606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606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2026-09-18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2026-09-18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2026-09-18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2026-09-18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2026-09-18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2026-09-18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2026-09-18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2026-09-18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2026-09-18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2026-09-18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2026-09-18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2026-09-18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2026-09-18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2026-09-18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2026-09-18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2026-09-18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2026-09-18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2026-09-18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2026-09-18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2026-09-18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2026-09-18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2026-09-18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2026-09-18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2026-09-18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2026-09-18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2026-09-18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2026-09-18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2026-09-18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2026-09-18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2026-09-18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2026-09-18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2026-09-18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2026-09-18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2026-09-18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2026-09-18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2026-09-18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2026-09-18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2026-09-18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314000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2329000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314000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2348000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2026-09-18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2026-09-18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2026-09-18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2026-09-18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2026-09-18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2026-09-18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2026-09-18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2026-09-18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2026-09-18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2026-09-18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2026-09-18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2026-09-18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2026-09-18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2026-09-18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2026-09-18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2026-09-18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2026-09-18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2026-09-18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2234000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2026-09-18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2026-09-18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2026-09-18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2026-09-18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2026-09-18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510000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2026-09-18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2026-09-18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424189</v>
      </c>
      <c r="N436" s="107" t="n">
        <v>122881056.7117117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2026-09-18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n"/>
      <c r="K437" s="106" t="n">
        <v>45809</v>
      </c>
      <c r="L437" s="106" t="n">
        <v>45838</v>
      </c>
      <c r="M437" s="107" t="n">
        <v>221132</v>
      </c>
      <c r="N437" s="107" t="n">
        <v>18240401.72972973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2026-09-18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n"/>
      <c r="K438" s="106" t="n">
        <v>45809</v>
      </c>
      <c r="L438" s="106" t="n">
        <v>45838</v>
      </c>
      <c r="M438" s="107" t="n">
        <v>30</v>
      </c>
      <c r="N438" s="107" t="n">
        <v>1237.297297297297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2026-09-18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1700</v>
      </c>
      <c r="N439" s="107" t="n">
        <v>8390250.45045045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2026-09-18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4</v>
      </c>
      <c r="N440" s="107" t="n">
        <v>6155.063063063064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2026-09-18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inlineStr">
        <is>
          <t>Parent Seed</t>
        </is>
      </c>
      <c r="K441" s="106" t="n">
        <v>45880</v>
      </c>
      <c r="L441" s="106" t="n">
        <v>45904</v>
      </c>
      <c r="M441" s="107" t="n">
        <v>212385</v>
      </c>
      <c r="N441" s="107" t="n">
        <v>1048213730.540541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2026-09-18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45880</v>
      </c>
      <c r="L442" s="106" t="n">
        <v>45904</v>
      </c>
      <c r="M442" s="107" t="n">
        <v>18218</v>
      </c>
      <c r="N442" s="107" t="n">
        <v>28033234.72072072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2026-09-18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n"/>
      <c r="K443" s="106" t="n">
        <v>45840</v>
      </c>
      <c r="L443" s="106" t="n">
        <v>45910</v>
      </c>
      <c r="M443" s="107" t="n">
        <v>114550</v>
      </c>
      <c r="N443" s="107" t="n">
        <v>760394355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2026-09-18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inlineStr">
        <is>
          <t>Parent Seed</t>
        </is>
      </c>
      <c r="K444" s="106" t="n">
        <v>45867</v>
      </c>
      <c r="L444" s="106" t="n">
        <v>45878</v>
      </c>
      <c r="M444" s="107" t="n">
        <v>118915</v>
      </c>
      <c r="N444" s="107" t="n">
        <v>418979325.9459459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2026-09-18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inlineStr">
        <is>
          <t>Corn</t>
        </is>
      </c>
      <c r="K445" s="106" t="n">
        <v>45870</v>
      </c>
      <c r="L445" s="106" t="n">
        <v>45881</v>
      </c>
      <c r="M445" s="107" t="n">
        <v>1436362</v>
      </c>
      <c r="N445" s="107" t="n">
        <v>5060807993.72973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2026-09-18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n"/>
      <c r="K446" s="106" t="n">
        <v>45873</v>
      </c>
      <c r="L446" s="106" t="n">
        <v>45910</v>
      </c>
      <c r="M446" s="107" t="n">
        <v>27885</v>
      </c>
      <c r="N446" s="107" t="n">
        <v>373550248.5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2026-09-18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45874</v>
      </c>
      <c r="L447" s="106" t="n">
        <v>45908</v>
      </c>
      <c r="M447" s="107" t="n">
        <v>131470</v>
      </c>
      <c r="N447" s="107" t="n">
        <v>872711007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2026-09-18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inlineStr">
        <is>
          <t>Corn</t>
        </is>
      </c>
      <c r="K448" s="106" t="n">
        <v>45883</v>
      </c>
      <c r="L448" s="106" t="n">
        <v>45889</v>
      </c>
      <c r="M448" s="107" t="n">
        <v>1832722</v>
      </c>
      <c r="N448" s="107" t="n">
        <v>6505915434.864865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2026-09-18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45809</v>
      </c>
      <c r="L449" s="106" t="n">
        <v>45838</v>
      </c>
      <c r="M449" s="107" t="n">
        <v>18974</v>
      </c>
      <c r="N449" s="107" t="n">
        <v>9427855.819819817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2026-09-18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45809</v>
      </c>
      <c r="L450" s="106" t="n">
        <v>45838</v>
      </c>
      <c r="M450" s="107" t="n">
        <v>27671</v>
      </c>
      <c r="N450" s="107" t="n">
        <v>3450897.774774775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2026-09-18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45908</v>
      </c>
      <c r="L451" s="106" t="n">
        <v>45909</v>
      </c>
      <c r="M451" s="107" t="n">
        <v>41990</v>
      </c>
      <c r="N451" s="107" t="n">
        <v>101149711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2026-09-18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45908</v>
      </c>
      <c r="L452" s="106" t="n">
        <v>45908</v>
      </c>
      <c r="M452" s="107" t="n">
        <v>245</v>
      </c>
      <c r="N452" s="107" t="n">
        <v>387489.55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2026-09-18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45910</v>
      </c>
      <c r="L453" s="106" t="n">
        <v>45910</v>
      </c>
      <c r="M453" s="107" t="n">
        <v>0</v>
      </c>
      <c r="N453" s="107" t="n">
        <v>69182240.05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2026-09-18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45910</v>
      </c>
      <c r="L454" s="106" t="n">
        <v>45911</v>
      </c>
      <c r="M454" s="107" t="n">
        <v>32720</v>
      </c>
      <c r="N454" s="107" t="n">
        <v>78819208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2026-09-18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45911</v>
      </c>
      <c r="L455" s="106" t="n">
        <v>45912</v>
      </c>
      <c r="M455" s="107" t="n">
        <v>32506</v>
      </c>
      <c r="N455" s="107" t="n">
        <v>78303703.39999999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2026-09-18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45912</v>
      </c>
      <c r="L456" s="106" t="n">
        <v>45913</v>
      </c>
      <c r="M456" s="107" t="n">
        <v>26460</v>
      </c>
      <c r="N456" s="107" t="n">
        <v>63739494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2026-09-18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45913</v>
      </c>
      <c r="L457" s="106" t="n">
        <v>45913</v>
      </c>
      <c r="M457" s="107" t="n">
        <v>9052</v>
      </c>
      <c r="N457" s="107" t="n">
        <v>14316552.68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2026-09-18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n"/>
      <c r="K458" s="106" t="n">
        <v>45915</v>
      </c>
      <c r="L458" s="106" t="n">
        <v>45916</v>
      </c>
      <c r="M458" s="107" t="n">
        <v>40081</v>
      </c>
      <c r="N458" s="107" t="n">
        <v>96551120.89999999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2026-09-18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45916</v>
      </c>
      <c r="L459" s="106" t="n">
        <v>45916</v>
      </c>
      <c r="M459" s="107" t="n">
        <v>19395</v>
      </c>
      <c r="N459" s="107" t="n">
        <v>46720615.5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2026-09-18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n"/>
      <c r="K460" s="106" t="n">
        <v>45916</v>
      </c>
      <c r="L460" s="106" t="n">
        <v>45917</v>
      </c>
      <c r="M460" s="107" t="n">
        <v>9890</v>
      </c>
      <c r="N460" s="107" t="n">
        <v>23824021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2026-09-18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Field Corn</t>
        </is>
      </c>
      <c r="K461" s="106" t="n">
        <v>45839</v>
      </c>
      <c r="L461" s="106" t="n">
        <v>45900</v>
      </c>
      <c r="M461" s="107" t="n">
        <v>189016</v>
      </c>
      <c r="N461" s="107" t="n">
        <v>47330628.10810812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2026-09-18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n"/>
      <c r="K462" s="106" t="n">
        <v>45874</v>
      </c>
      <c r="L462" s="106" t="n">
        <v>45903</v>
      </c>
      <c r="M462" s="107" t="n">
        <v>173255</v>
      </c>
      <c r="N462" s="107" t="n">
        <v>1150084015.5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2026-09-18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45902</v>
      </c>
      <c r="M463" s="107" t="n">
        <v>1646821</v>
      </c>
      <c r="N463" s="107" t="n">
        <v>6504171466.288288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2026-09-18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Corn</t>
        </is>
      </c>
      <c r="K464" s="106" t="n">
        <v>45880</v>
      </c>
      <c r="L464" s="106" t="n">
        <v>45907</v>
      </c>
      <c r="M464" s="107" t="n">
        <v>623526</v>
      </c>
      <c r="N464" s="107" t="n">
        <v>959460462.8648648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2026-09-18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Corn</t>
        </is>
      </c>
      <c r="K465" s="106" t="n">
        <v>45880</v>
      </c>
      <c r="L465" s="106" t="n">
        <v>45907</v>
      </c>
      <c r="M465" s="107" t="n">
        <v>737480</v>
      </c>
      <c r="N465" s="107" t="n">
        <v>757504907.3873874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2026-09-18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Corn</t>
        </is>
      </c>
      <c r="K466" s="106" t="n">
        <v>45880</v>
      </c>
      <c r="L466" s="106" t="n">
        <v>45907</v>
      </c>
      <c r="M466" s="107" t="n">
        <v>144100</v>
      </c>
      <c r="N466" s="107" t="n">
        <v>74006384.68468469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2026-09-18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inlineStr">
        <is>
          <t>Sweet Corn</t>
        </is>
      </c>
      <c r="K467" s="106" t="n">
        <v>45880</v>
      </c>
      <c r="L467" s="106" t="n">
        <v>45907</v>
      </c>
      <c r="M467" s="107" t="n">
        <v>124839</v>
      </c>
      <c r="N467" s="107" t="n">
        <v>957425155.945946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2026-09-18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inlineStr">
        <is>
          <t>Sweet Corn</t>
        </is>
      </c>
      <c r="K468" s="106" t="n">
        <v>45880</v>
      </c>
      <c r="L468" s="106" t="n">
        <v>45907</v>
      </c>
      <c r="M468" s="107" t="n">
        <v>1406</v>
      </c>
      <c r="N468" s="107" t="n">
        <v>4107483.333333333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2026-09-18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inlineStr">
        <is>
          <t>Sweet Corn</t>
        </is>
      </c>
      <c r="K469" s="106" t="n">
        <v>45880</v>
      </c>
      <c r="L469" s="106" t="n">
        <v>45907</v>
      </c>
      <c r="M469" s="107" t="n">
        <v>1829</v>
      </c>
      <c r="N469" s="107" t="n">
        <v>3672912.117117117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2026-09-18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45922</v>
      </c>
      <c r="L470" s="106" t="n">
        <v>45922</v>
      </c>
      <c r="M470" s="107" t="n">
        <v>23075</v>
      </c>
      <c r="N470" s="107" t="n">
        <v>55585367.5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2026-09-18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Processing</t>
        </is>
      </c>
      <c r="I471" s="105" t="inlineStr">
        <is>
          <t>Tolling</t>
        </is>
      </c>
      <c r="J471" s="105" t="n"/>
      <c r="K471" s="106" t="n">
        <v>45922</v>
      </c>
      <c r="L471" s="106" t="n">
        <v>45922</v>
      </c>
      <c r="M471" s="107" t="n">
        <v>7620</v>
      </c>
      <c r="N471" s="107" t="n">
        <v>18355818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2026-09-18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Processing</t>
        </is>
      </c>
      <c r="I472" s="105" t="inlineStr">
        <is>
          <t>Tolling</t>
        </is>
      </c>
      <c r="J472" s="105" t="n"/>
      <c r="K472" s="106" t="n">
        <v>45923</v>
      </c>
      <c r="L472" s="106" t="n">
        <v>45925</v>
      </c>
      <c r="M472" s="107" t="n">
        <v>32820</v>
      </c>
      <c r="N472" s="107" t="n">
        <v>79060098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2026-09-18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Processing</t>
        </is>
      </c>
      <c r="I473" s="105" t="inlineStr">
        <is>
          <t>Tolling</t>
        </is>
      </c>
      <c r="J473" s="105" t="n"/>
      <c r="K473" s="106" t="n">
        <v>45924</v>
      </c>
      <c r="L473" s="106" t="n">
        <v>45924</v>
      </c>
      <c r="M473" s="107" t="n">
        <v>212</v>
      </c>
      <c r="N473" s="107" t="n">
        <v>335297.08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2026-09-18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192258045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2026-09-18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6" t="n">
        <v>45901</v>
      </c>
      <c r="L475" s="106" t="n">
        <v>45930</v>
      </c>
      <c r="M475" s="107" t="n">
        <v>0</v>
      </c>
      <c r="N475" s="107" t="n">
        <v>20105919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2026-09-18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6" t="n">
        <v>45901</v>
      </c>
      <c r="L476" s="106" t="n">
        <v>45930</v>
      </c>
      <c r="M476" s="107" t="n">
        <v>0</v>
      </c>
      <c r="N476" s="107" t="n">
        <v>759000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2026-09-18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6" t="n">
        <v>45901</v>
      </c>
      <c r="L477" s="106" t="n">
        <v>45930</v>
      </c>
      <c r="M477" s="107" t="n">
        <v>0</v>
      </c>
      <c r="N477" s="107" t="n">
        <v>10000000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2026-09-18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inlineStr">
        <is>
          <t>Parent Seed</t>
        </is>
      </c>
      <c r="K478" s="106" t="n">
        <v>45881</v>
      </c>
      <c r="L478" s="106" t="n">
        <v>45893</v>
      </c>
      <c r="M478" s="107" t="n">
        <v>486422</v>
      </c>
      <c r="N478" s="107" t="n">
        <v>1745361015.243243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2026-09-18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inlineStr">
        <is>
          <t>Corn</t>
        </is>
      </c>
      <c r="K479" s="106" t="n">
        <v>45889</v>
      </c>
      <c r="L479" s="106" t="n">
        <v>45897</v>
      </c>
      <c r="M479" s="107" t="n">
        <v>320120</v>
      </c>
      <c r="N479" s="107" t="n">
        <v>1031074796.396396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2026-09-18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inlineStr">
        <is>
          <t>Corn</t>
        </is>
      </c>
      <c r="K480" s="106" t="n">
        <v>45892</v>
      </c>
      <c r="L480" s="106" t="n">
        <v>45895</v>
      </c>
      <c r="M480" s="107" t="n">
        <v>1385936</v>
      </c>
      <c r="N480" s="107" t="n">
        <v>4972963114.378378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2026-09-18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2151262.85</v>
      </c>
      <c r="N481" s="107" t="n">
        <v>13078432527.42911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2026-09-18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1374619.75</v>
      </c>
      <c r="N482" s="107" t="n">
        <v>2387671904.921712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2026-09-18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9.300000000000001</v>
      </c>
      <c r="N483" s="107" t="n">
        <v>8076.905891891893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2026-09-18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Processing</t>
        </is>
      </c>
      <c r="I484" s="105" t="inlineStr">
        <is>
          <t>Tolling</t>
        </is>
      </c>
      <c r="J484" s="105" t="n"/>
      <c r="K484" s="106" t="n">
        <v>45901</v>
      </c>
      <c r="L484" s="106" t="n">
        <v>45930</v>
      </c>
      <c r="M484" s="107" t="n">
        <v>22795.5</v>
      </c>
      <c r="N484" s="107" t="n">
        <v>237571805.3554054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2026-09-18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n"/>
      <c r="K485" s="106" t="n">
        <v>45901</v>
      </c>
      <c r="L485" s="106" t="n">
        <v>45930</v>
      </c>
      <c r="M485" s="107" t="n">
        <v>2400.5</v>
      </c>
      <c r="N485" s="107" t="n">
        <v>14593650.08887387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2026-09-18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45901</v>
      </c>
      <c r="L486" s="106" t="n">
        <v>45930</v>
      </c>
      <c r="M486" s="107" t="n">
        <v>0.8</v>
      </c>
      <c r="N486" s="107" t="n">
        <v>2084.370666666667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2026-09-18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0</v>
      </c>
      <c r="N487" s="107" t="n">
        <v>1068248720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2026-09-18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Processing</t>
        </is>
      </c>
      <c r="I488" s="105" t="inlineStr">
        <is>
          <t>Tolling</t>
        </is>
      </c>
      <c r="J488" s="105" t="inlineStr">
        <is>
          <t>Corn</t>
        </is>
      </c>
      <c r="K488" s="106" t="n">
        <v>45898</v>
      </c>
      <c r="L488" s="106" t="n">
        <v>45901</v>
      </c>
      <c r="M488" s="107" t="n">
        <v>1533480</v>
      </c>
      <c r="N488" s="107" t="n">
        <v>5464728669.189189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2026-09-18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Processing</t>
        </is>
      </c>
      <c r="I489" s="105" t="inlineStr">
        <is>
          <t>Tolling</t>
        </is>
      </c>
      <c r="J489" s="105" t="n"/>
      <c r="K489" s="106" t="n">
        <v>45929</v>
      </c>
      <c r="L489" s="106" t="n">
        <v>45929</v>
      </c>
      <c r="M489" s="107" t="n">
        <v>610</v>
      </c>
      <c r="N489" s="107" t="n">
        <v>964769.9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2026-09-18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45901</v>
      </c>
      <c r="L490" s="106" t="n">
        <v>45930</v>
      </c>
      <c r="M490" s="107" t="n">
        <v>510000</v>
      </c>
      <c r="N490" s="107" t="n">
        <v>206040000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2026-09-18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6" t="n">
        <v>45901</v>
      </c>
      <c r="L491" s="106" t="n">
        <v>45930</v>
      </c>
      <c r="M491" s="107" t="n">
        <v>2331000</v>
      </c>
      <c r="N491" s="107" t="n">
        <v>941724000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2026-09-18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6" t="n">
        <v>45901</v>
      </c>
      <c r="L492" s="106" t="n">
        <v>45930</v>
      </c>
      <c r="M492" s="107" t="n">
        <v>360601</v>
      </c>
      <c r="N492" s="107" t="n">
        <v>157222036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2026-09-18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6" t="n">
        <v>45870</v>
      </c>
      <c r="L493" s="106" t="n">
        <v>45900</v>
      </c>
      <c r="M493" s="107" t="n">
        <v>201811</v>
      </c>
      <c r="N493" s="107" t="n">
        <v>16306328.8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2026-09-18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inlineStr">
        <is>
          <t>Parent Seed</t>
        </is>
      </c>
      <c r="K494" s="106" t="n">
        <v>45893</v>
      </c>
      <c r="L494" s="106" t="n">
        <v>45907</v>
      </c>
      <c r="M494" s="107" t="n">
        <v>308845</v>
      </c>
      <c r="N494" s="107" t="n">
        <v>1103636739.594594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2026-09-18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inlineStr">
        <is>
          <t>Corn</t>
        </is>
      </c>
      <c r="K495" s="106" t="n">
        <v>45898</v>
      </c>
      <c r="L495" s="106" t="n">
        <v>45906</v>
      </c>
      <c r="M495" s="107" t="n">
        <v>339240</v>
      </c>
      <c r="N495" s="107" t="n">
        <v>1095656569.72973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2026-09-18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inlineStr">
        <is>
          <t>Corn</t>
        </is>
      </c>
      <c r="K496" s="106" t="n">
        <v>45904</v>
      </c>
      <c r="L496" s="106" t="n">
        <v>45908</v>
      </c>
      <c r="M496" s="107" t="n">
        <v>1073345</v>
      </c>
      <c r="N496" s="107" t="n">
        <v>3835525834.189189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2026-09-18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45910</v>
      </c>
      <c r="L497" s="106" t="n">
        <v>45938</v>
      </c>
      <c r="M497" s="107" t="n">
        <v>102510</v>
      </c>
      <c r="N497" s="107" t="n">
        <v>680471631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2026-09-18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n"/>
      <c r="K498" s="106" t="n">
        <v>45910</v>
      </c>
      <c r="L498" s="106" t="n">
        <v>45910</v>
      </c>
      <c r="M498" s="107" t="n">
        <v>1960</v>
      </c>
      <c r="N498" s="107" t="n">
        <v>26256356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2026-09-18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n"/>
      <c r="K499" s="106" t="n">
        <v>45917</v>
      </c>
      <c r="L499" s="106" t="n">
        <v>45936</v>
      </c>
      <c r="M499" s="107" t="n">
        <v>103405</v>
      </c>
      <c r="N499" s="107" t="n">
        <v>686412730.5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2026-09-18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45926</v>
      </c>
      <c r="L500" s="106" t="n">
        <v>45936</v>
      </c>
      <c r="M500" s="107" t="n">
        <v>2040</v>
      </c>
      <c r="N500" s="107" t="n">
        <v>27328044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2026-09-18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Parent Seed</t>
        </is>
      </c>
      <c r="K501" s="106" t="n">
        <v>45909</v>
      </c>
      <c r="L501" s="106" t="n">
        <v>45932</v>
      </c>
      <c r="M501" s="107" t="n">
        <v>179859</v>
      </c>
      <c r="N501" s="107" t="n">
        <v>887683562.2162162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2026-09-18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Parent Seed</t>
        </is>
      </c>
      <c r="K502" s="106" t="n">
        <v>45909</v>
      </c>
      <c r="L502" s="106" t="n">
        <v>45932</v>
      </c>
      <c r="M502" s="107" t="n">
        <v>14418</v>
      </c>
      <c r="N502" s="107" t="n">
        <v>22185924.81081081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2026-09-18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n"/>
      <c r="K503" s="106" t="n">
        <v>45910</v>
      </c>
      <c r="L503" s="106" t="n">
        <v>45939</v>
      </c>
      <c r="M503" s="107" t="n">
        <v>642370</v>
      </c>
      <c r="N503" s="107" t="n">
        <v>4264116297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2026-09-18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45908</v>
      </c>
      <c r="L504" s="106" t="n">
        <v>45913</v>
      </c>
      <c r="M504" s="107" t="n">
        <v>338900</v>
      </c>
      <c r="N504" s="107" t="n">
        <v>1089566553.153153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2026-09-18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45910</v>
      </c>
      <c r="L505" s="106" t="n">
        <v>45914</v>
      </c>
      <c r="M505" s="107" t="n">
        <v>1087281</v>
      </c>
      <c r="N505" s="107" t="n">
        <v>3910949757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2026-09-18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45536</v>
      </c>
      <c r="L506" s="106" t="n">
        <v>45688</v>
      </c>
      <c r="M506" s="107" t="n">
        <v>229134</v>
      </c>
      <c r="N506" s="107" t="n">
        <v>734192814.2162162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2026-09-18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45714</v>
      </c>
      <c r="L507" s="106" t="n">
        <v>45777</v>
      </c>
      <c r="M507" s="107" t="n">
        <v>21682</v>
      </c>
      <c r="N507" s="107" t="n">
        <v>75626816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2026-09-18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45814</v>
      </c>
      <c r="L508" s="106" t="n">
        <v>45854</v>
      </c>
      <c r="M508" s="107" t="n">
        <v>4260</v>
      </c>
      <c r="N508" s="107" t="n">
        <v>14858880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2026-09-18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45866</v>
      </c>
      <c r="L509" s="106" t="n">
        <v>45904</v>
      </c>
      <c r="M509" s="107" t="n">
        <v>86864</v>
      </c>
      <c r="N509" s="107" t="n">
        <v>302981632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2026-09-18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45890</v>
      </c>
      <c r="L510" s="106" t="n">
        <v>45925</v>
      </c>
      <c r="M510" s="107" t="n">
        <v>44815</v>
      </c>
      <c r="N510" s="107" t="n">
        <v>156314720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2026-09-18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3126210</v>
      </c>
      <c r="N511" s="107" t="n">
        <v>12347064969.18919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2026-09-18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Corn</t>
        </is>
      </c>
      <c r="K512" s="106" t="n">
        <v>45908</v>
      </c>
      <c r="L512" s="106" t="n">
        <v>45940</v>
      </c>
      <c r="M512" s="107" t="n">
        <v>1247977</v>
      </c>
      <c r="N512" s="107" t="n">
        <v>1920344284.063063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2026-09-18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Corn</t>
        </is>
      </c>
      <c r="K513" s="106" t="n">
        <v>45908</v>
      </c>
      <c r="L513" s="106" t="n">
        <v>45940</v>
      </c>
      <c r="M513" s="107" t="n">
        <v>1206639</v>
      </c>
      <c r="N513" s="107" t="n">
        <v>1239403053.567568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2026-09-18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Corn</t>
        </is>
      </c>
      <c r="K514" s="106" t="n">
        <v>45908</v>
      </c>
      <c r="L514" s="106" t="n">
        <v>45940</v>
      </c>
      <c r="M514" s="107" t="n">
        <v>66320</v>
      </c>
      <c r="N514" s="107" t="n">
        <v>34060398.55855856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2026-09-18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Field Corn</t>
        </is>
      </c>
      <c r="K515" s="106" t="n">
        <v>45908</v>
      </c>
      <c r="L515" s="106" t="n">
        <v>45940</v>
      </c>
      <c r="M515" s="107" t="n">
        <v>61400</v>
      </c>
      <c r="N515" s="107" t="n">
        <v>15374891.89189189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2026-09-18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Processing</t>
        </is>
      </c>
      <c r="I516" s="105" t="inlineStr">
        <is>
          <t>Tolling</t>
        </is>
      </c>
      <c r="J516" s="105" t="inlineStr">
        <is>
          <t>Sweet Corn</t>
        </is>
      </c>
      <c r="K516" s="106" t="n">
        <v>45908</v>
      </c>
      <c r="L516" s="106" t="n">
        <v>45940</v>
      </c>
      <c r="M516" s="107" t="n">
        <v>327101</v>
      </c>
      <c r="N516" s="107" t="n">
        <v>2488392862.36937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2026-09-18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Processing</t>
        </is>
      </c>
      <c r="I517" s="105" t="inlineStr">
        <is>
          <t>Tolling</t>
        </is>
      </c>
      <c r="J517" s="105" t="inlineStr">
        <is>
          <t>Sweet Corn</t>
        </is>
      </c>
      <c r="K517" s="106" t="n">
        <v>45908</v>
      </c>
      <c r="L517" s="106" t="n">
        <v>45940</v>
      </c>
      <c r="M517" s="107" t="n">
        <v>21094</v>
      </c>
      <c r="N517" s="107" t="n">
        <v>61126801.31531531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2026-09-18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Processing</t>
        </is>
      </c>
      <c r="I518" s="105" t="inlineStr">
        <is>
          <t>Tolling</t>
        </is>
      </c>
      <c r="J518" s="105" t="inlineStr">
        <is>
          <t>Sweet Corn</t>
        </is>
      </c>
      <c r="K518" s="106" t="n">
        <v>45908</v>
      </c>
      <c r="L518" s="106" t="n">
        <v>45940</v>
      </c>
      <c r="M518" s="107" t="n">
        <v>640</v>
      </c>
      <c r="N518" s="107" t="n">
        <v>1275162.522522523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2026-09-18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4423683</v>
      </c>
      <c r="N519" s="107" t="n">
        <v>1096629741.21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2026-09-18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6" t="n">
        <v>45870</v>
      </c>
      <c r="L520" s="106" t="n">
        <v>45900</v>
      </c>
      <c r="M520" s="107" t="n">
        <v>4063759</v>
      </c>
      <c r="N520" s="107" t="n">
        <v>287307761.3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2026-09-18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6" t="n">
        <v>45870</v>
      </c>
      <c r="L521" s="106" t="n">
        <v>45900</v>
      </c>
      <c r="M521" s="107" t="n">
        <v>4000000</v>
      </c>
      <c r="N521" s="107" t="n">
        <v>1276640000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2026-09-18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6" t="n">
        <v>45870</v>
      </c>
      <c r="L522" s="106" t="n">
        <v>45900</v>
      </c>
      <c r="M522" s="107" t="n">
        <v>354355</v>
      </c>
      <c r="N522" s="107" t="n">
        <v>14315942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2026-09-18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Parent Seed</t>
        </is>
      </c>
      <c r="K523" s="106" t="n">
        <v>45854</v>
      </c>
      <c r="L523" s="106" t="n">
        <v>45866</v>
      </c>
      <c r="M523" s="107" t="n">
        <v>79444</v>
      </c>
      <c r="N523" s="107" t="n">
        <v>741119477.4774773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2026-09-18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45909</v>
      </c>
      <c r="L524" s="106" t="n">
        <v>45920</v>
      </c>
      <c r="M524" s="107" t="n">
        <v>167321</v>
      </c>
      <c r="N524" s="107" t="n">
        <v>2199731502.09009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2026-09-18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Corn</t>
        </is>
      </c>
      <c r="K525" s="106" t="n">
        <v>45915</v>
      </c>
      <c r="L525" s="106" t="n">
        <v>45920</v>
      </c>
      <c r="M525" s="107" t="n">
        <v>316260</v>
      </c>
      <c r="N525" s="107" t="n">
        <v>1032306830.27027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2026-09-18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Corn</t>
        </is>
      </c>
      <c r="K526" s="106" t="n">
        <v>45918</v>
      </c>
      <c r="L526" s="106" t="n">
        <v>45923</v>
      </c>
      <c r="M526" s="107" t="n">
        <v>1226546</v>
      </c>
      <c r="N526" s="107" t="n">
        <v>4479334942.036036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2026-09-18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45867</v>
      </c>
      <c r="L527" s="106" t="n">
        <v>45878</v>
      </c>
      <c r="M527" s="107" t="n">
        <v>118915</v>
      </c>
      <c r="N527" s="107" t="n">
        <v>1089369601.936937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2026-09-18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Parent Seed</t>
        </is>
      </c>
      <c r="K528" s="106" t="n">
        <v>45881</v>
      </c>
      <c r="L528" s="106" t="n">
        <v>45893</v>
      </c>
      <c r="M528" s="107" t="n">
        <v>179796</v>
      </c>
      <c r="N528" s="107" t="n">
        <v>1677639220.972973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2026-09-18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45893</v>
      </c>
      <c r="L529" s="106" t="n">
        <v>45907</v>
      </c>
      <c r="M529" s="107" t="n">
        <v>157014</v>
      </c>
      <c r="N529" s="107" t="n">
        <v>1458743517.891892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2026-09-18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Parent Seed</t>
        </is>
      </c>
      <c r="K530" s="106" t="n">
        <v>45915</v>
      </c>
      <c r="L530" s="106" t="n">
        <v>45915</v>
      </c>
      <c r="M530" s="107" t="n">
        <v>102060</v>
      </c>
      <c r="N530" s="107" t="n">
        <v>371118663.2432432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2026-09-18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Processing</t>
        </is>
      </c>
      <c r="I531" s="105" t="inlineStr">
        <is>
          <t>Tolling</t>
        </is>
      </c>
      <c r="J531" s="105" t="inlineStr">
        <is>
          <t>Corn</t>
        </is>
      </c>
      <c r="K531" s="106" t="n">
        <v>45922</v>
      </c>
      <c r="L531" s="106" t="n">
        <v>45927</v>
      </c>
      <c r="M531" s="107" t="n">
        <v>317900</v>
      </c>
      <c r="N531" s="107" t="n">
        <v>1041093860.36036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2026-09-18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Parent Seed</t>
        </is>
      </c>
      <c r="K532" s="106" t="n">
        <v>45923</v>
      </c>
      <c r="L532" s="106" t="n">
        <v>45929</v>
      </c>
      <c r="M532" s="107" t="n">
        <v>87666</v>
      </c>
      <c r="N532" s="107" t="n">
        <v>1142883476.972973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2026-09-18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Corn</t>
        </is>
      </c>
      <c r="K533" s="106" t="n">
        <v>45926</v>
      </c>
      <c r="L533" s="106" t="n">
        <v>45930</v>
      </c>
      <c r="M533" s="107" t="n">
        <v>1085030</v>
      </c>
      <c r="N533" s="107" t="n">
        <v>3929489907.747748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2026-09-18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6" t="n">
        <v>45901</v>
      </c>
      <c r="L534" s="106" t="n">
        <v>45930</v>
      </c>
      <c r="M534" s="107" t="n">
        <v>1346228</v>
      </c>
      <c r="N534" s="107" t="n">
        <v>108775222.4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2026-09-18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Processing</t>
        </is>
      </c>
      <c r="I535" s="105" t="inlineStr">
        <is>
          <t>Tolling</t>
        </is>
      </c>
      <c r="J535" s="105" t="inlineStr">
        <is>
          <t>Corn</t>
        </is>
      </c>
      <c r="K535" s="106" t="n">
        <v>45929</v>
      </c>
      <c r="L535" s="106" t="n">
        <v>45934</v>
      </c>
      <c r="M535" s="107" t="n">
        <v>309800</v>
      </c>
      <c r="N535" s="107" t="n">
        <v>1006657421.621622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2026-09-18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Processing</t>
        </is>
      </c>
      <c r="I536" s="105" t="inlineStr">
        <is>
          <t>Tolling</t>
        </is>
      </c>
      <c r="J536" s="105" t="inlineStr">
        <is>
          <t>Parent Seed</t>
        </is>
      </c>
      <c r="K536" s="106" t="n">
        <v>45930</v>
      </c>
      <c r="L536" s="106" t="n">
        <v>45935</v>
      </c>
      <c r="M536" s="107" t="n">
        <v>87914</v>
      </c>
      <c r="N536" s="107" t="n">
        <v>1142577073.063063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2026-09-18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45931</v>
      </c>
      <c r="L537" s="106" t="n">
        <v>45936</v>
      </c>
      <c r="M537" s="107" t="n">
        <v>778397</v>
      </c>
      <c r="N537" s="107" t="n">
        <v>2809830842.774775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2026-09-18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6" t="n">
        <v>45901</v>
      </c>
      <c r="L538" s="106" t="n">
        <v>45930</v>
      </c>
      <c r="M538" s="107" t="n">
        <v>4000000</v>
      </c>
      <c r="N538" s="107" t="n">
        <v>1276640000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2026-09-18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6" t="n">
        <v>45901</v>
      </c>
      <c r="L539" s="106" t="n">
        <v>45930</v>
      </c>
      <c r="M539" s="107" t="n">
        <v>1453505</v>
      </c>
      <c r="N539" s="107" t="n">
        <v>58721602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2026-09-18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45936</v>
      </c>
      <c r="L540" s="106" t="n">
        <v>45943</v>
      </c>
      <c r="M540" s="107" t="n">
        <v>339460</v>
      </c>
      <c r="N540" s="107" t="n">
        <v>1104367358.738739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2026-09-18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45936</v>
      </c>
      <c r="L541" s="106" t="n">
        <v>45942</v>
      </c>
      <c r="M541" s="107" t="n">
        <v>718739</v>
      </c>
      <c r="N541" s="107" t="n">
        <v>2597302591.711712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2026-09-18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45938</v>
      </c>
      <c r="L542" s="106" t="n">
        <v>45941</v>
      </c>
      <c r="M542" s="107" t="n">
        <v>40549</v>
      </c>
      <c r="N542" s="107" t="n">
        <v>527513996.1081081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2026-09-18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45882</v>
      </c>
      <c r="L543" s="106" t="n">
        <v>45948</v>
      </c>
      <c r="M543" s="107" t="n">
        <v>217100</v>
      </c>
      <c r="N543" s="107" t="n">
        <v>706505987.3873874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2026-09-18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45942</v>
      </c>
      <c r="L544" s="106" t="n">
        <v>45942</v>
      </c>
      <c r="M544" s="107" t="n">
        <v>16105</v>
      </c>
      <c r="N544" s="107" t="n">
        <v>58340870.31531531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2026-09-18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Processing</t>
        </is>
      </c>
      <c r="I545" s="105" t="inlineStr">
        <is>
          <t>Tolling</t>
        </is>
      </c>
      <c r="J545" s="105" t="inlineStr">
        <is>
          <t>Parent Seed</t>
        </is>
      </c>
      <c r="K545" s="106" t="n">
        <v>45942</v>
      </c>
      <c r="L545" s="106" t="n">
        <v>45948</v>
      </c>
      <c r="M545" s="107" t="n">
        <v>83436</v>
      </c>
      <c r="N545" s="107" t="n">
        <v>1088065574.054054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2026-09-18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Processing</t>
        </is>
      </c>
      <c r="I546" s="105" t="inlineStr">
        <is>
          <t>Tolling</t>
        </is>
      </c>
      <c r="J546" s="105" t="inlineStr">
        <is>
          <t>Corn</t>
        </is>
      </c>
      <c r="K546" s="106" t="n">
        <v>45950</v>
      </c>
      <c r="L546" s="106" t="n">
        <v>45955</v>
      </c>
      <c r="M546" s="107" t="n">
        <v>252380</v>
      </c>
      <c r="N546" s="107" t="n">
        <v>823052106.4864866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2026-09-18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Processing</t>
        </is>
      </c>
      <c r="I547" s="105" t="inlineStr">
        <is>
          <t>Tolling</t>
        </is>
      </c>
      <c r="J547" s="105" t="inlineStr">
        <is>
          <t>Corn</t>
        </is>
      </c>
      <c r="K547" s="106" t="n">
        <v>45957</v>
      </c>
      <c r="L547" s="106" t="n">
        <v>45959</v>
      </c>
      <c r="M547" s="107" t="n">
        <v>126000</v>
      </c>
      <c r="N547" s="107" t="n">
        <v>411896270.2702703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2026-09-18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4000000</v>
      </c>
      <c r="N548" s="107" t="n">
        <v>1276640000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2026-09-18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1584743</v>
      </c>
      <c r="N549" s="107" t="n">
        <v>64023617.2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2026-09-18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768304</v>
      </c>
      <c r="N550" s="107" t="n">
        <v>62078963.2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2026-09-18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192258045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2026-09-18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0</v>
      </c>
      <c r="N552" s="107" t="n">
        <v>25237484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2026-09-18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6" t="n">
        <v>45931</v>
      </c>
      <c r="L553" s="106" t="n">
        <v>45961</v>
      </c>
      <c r="M553" s="107" t="n">
        <v>0</v>
      </c>
      <c r="N553" s="107" t="n">
        <v>1001000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2026-09-18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6" t="n">
        <v>45931</v>
      </c>
      <c r="L554" s="106" t="n">
        <v>45961</v>
      </c>
      <c r="M554" s="107" t="n">
        <v>0</v>
      </c>
      <c r="N554" s="107" t="n">
        <v>10000000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2026-09-18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6" t="n">
        <v>45931</v>
      </c>
      <c r="L555" s="106" t="n">
        <v>45961</v>
      </c>
      <c r="M555" s="107" t="n">
        <v>510000</v>
      </c>
      <c r="N555" s="107" t="n">
        <v>206040000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2026-09-18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45939</v>
      </c>
      <c r="L556" s="106" t="n">
        <v>45952</v>
      </c>
      <c r="M556" s="107" t="n">
        <v>2520</v>
      </c>
      <c r="N556" s="107" t="n">
        <v>1098720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2026-09-18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45940</v>
      </c>
      <c r="L557" s="106" t="n">
        <v>45952</v>
      </c>
      <c r="M557" s="107" t="n">
        <v>2520</v>
      </c>
      <c r="N557" s="107" t="n">
        <v>1098720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2026-09-18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45940</v>
      </c>
      <c r="L558" s="106" t="n">
        <v>45952</v>
      </c>
      <c r="M558" s="107" t="n">
        <v>840</v>
      </c>
      <c r="N558" s="107" t="n">
        <v>2034463.2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2026-09-18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45960</v>
      </c>
      <c r="L559" s="106" t="n">
        <v>45965</v>
      </c>
      <c r="M559" s="107" t="n">
        <v>4448</v>
      </c>
      <c r="N559" s="107" t="n">
        <v>10714787.2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2026-09-18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45959</v>
      </c>
      <c r="L560" s="106" t="n">
        <v>45965</v>
      </c>
      <c r="M560" s="107" t="n">
        <v>67837</v>
      </c>
      <c r="N560" s="107" t="n">
        <v>107290320.83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2026-09-18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1220871.05</v>
      </c>
      <c r="N561" s="107" t="n">
        <v>7422189088.663214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2026-09-18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2319393.95</v>
      </c>
      <c r="N562" s="107" t="n">
        <v>14100572266.00751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2026-09-18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671828.25</v>
      </c>
      <c r="N563" s="107" t="n">
        <v>1166944849.626757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2026-09-18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10135.85</v>
      </c>
      <c r="N564" s="107" t="n">
        <v>8802828.664981982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2026-09-18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Processing</t>
        </is>
      </c>
      <c r="I565" s="105" t="inlineStr">
        <is>
          <t>Tolling</t>
        </is>
      </c>
      <c r="J565" s="105" t="n"/>
      <c r="K565" s="106" t="n">
        <v>45931</v>
      </c>
      <c r="L565" s="106" t="n">
        <v>45961</v>
      </c>
      <c r="M565" s="107" t="n">
        <v>68573.10000000001</v>
      </c>
      <c r="N565" s="107" t="n">
        <v>714660137.562973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2026-09-18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45931</v>
      </c>
      <c r="L566" s="106" t="n">
        <v>45961</v>
      </c>
      <c r="M566" s="107" t="n">
        <v>499.7</v>
      </c>
      <c r="N566" s="107" t="n">
        <v>3037886.669198198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2026-09-18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45931</v>
      </c>
      <c r="L567" s="106" t="n">
        <v>45961</v>
      </c>
      <c r="M567" s="107" t="n">
        <v>73.8</v>
      </c>
      <c r="N567" s="107" t="n">
        <v>192283.194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2026-09-18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0</v>
      </c>
      <c r="N568" s="107" t="n">
        <v>1068248720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2026-09-18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45965</v>
      </c>
      <c r="L569" s="106" t="n">
        <v>45974</v>
      </c>
      <c r="M569" s="107" t="n">
        <v>145220</v>
      </c>
      <c r="N569" s="107" t="n">
        <v>349820458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2026-09-18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45973</v>
      </c>
      <c r="L570" s="106" t="n">
        <v>45974</v>
      </c>
      <c r="M570" s="107" t="n">
        <v>1280</v>
      </c>
      <c r="N570" s="107" t="n">
        <v>3083392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2026-09-18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45931</v>
      </c>
      <c r="L571" s="106" t="n">
        <v>45961</v>
      </c>
      <c r="M571" s="107" t="n">
        <v>2579000</v>
      </c>
      <c r="N571" s="107" t="n">
        <v>911676500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2026-09-18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Processing</t>
        </is>
      </c>
      <c r="I572" s="105" t="inlineStr">
        <is>
          <t>Tolling</t>
        </is>
      </c>
      <c r="J572" s="105" t="n"/>
      <c r="K572" s="106" t="n">
        <v>45930</v>
      </c>
      <c r="L572" s="106" t="n">
        <v>45960</v>
      </c>
      <c r="M572" s="107" t="n">
        <v>2340</v>
      </c>
      <c r="N572" s="107" t="n">
        <v>11548932.97297297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2026-09-18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Processing</t>
        </is>
      </c>
      <c r="I573" s="105" t="inlineStr">
        <is>
          <t>Tolling</t>
        </is>
      </c>
      <c r="J573" s="105" t="n"/>
      <c r="K573" s="106" t="n">
        <v>45952</v>
      </c>
      <c r="L573" s="106" t="n">
        <v>45971</v>
      </c>
      <c r="M573" s="107" t="n">
        <v>116</v>
      </c>
      <c r="N573" s="107" t="n">
        <v>178496.8288288288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2026-09-18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45901</v>
      </c>
      <c r="L574" s="106" t="n">
        <v>45930</v>
      </c>
      <c r="M574" s="107" t="n">
        <v>4534111</v>
      </c>
      <c r="N574" s="107" t="n">
        <v>1179536883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2026-09-18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6" t="n">
        <v>45901</v>
      </c>
      <c r="L575" s="106" t="n">
        <v>45930</v>
      </c>
      <c r="M575" s="107" t="n">
        <v>4808907</v>
      </c>
      <c r="N575" s="107" t="n">
        <v>364274705.25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2026-09-18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6" t="n">
        <v>45931</v>
      </c>
      <c r="L576" s="106" t="n">
        <v>45961</v>
      </c>
      <c r="M576" s="107" t="n">
        <v>4553546</v>
      </c>
      <c r="N576" s="107" t="n">
        <v>1185425688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2026-09-18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6" t="n">
        <v>45931</v>
      </c>
      <c r="L577" s="106" t="n">
        <v>45961</v>
      </c>
      <c r="M577" s="107" t="n">
        <v>4930626</v>
      </c>
      <c r="N577" s="107" t="n">
        <v>373494919.5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2026-09-18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192258045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2026-09-18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6" t="n">
        <v>45962</v>
      </c>
      <c r="L579" s="106" t="n">
        <v>45991</v>
      </c>
      <c r="M579" s="107" t="n">
        <v>0</v>
      </c>
      <c r="N579" s="107" t="n">
        <v>16749598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2026-09-18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6" t="n">
        <v>45962</v>
      </c>
      <c r="L580" s="106" t="n">
        <v>45991</v>
      </c>
      <c r="M580" s="107" t="n">
        <v>0</v>
      </c>
      <c r="N580" s="107" t="n">
        <v>759000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2026-09-18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6" t="n">
        <v>45962</v>
      </c>
      <c r="L581" s="106" t="n">
        <v>45991</v>
      </c>
      <c r="M581" s="107" t="n">
        <v>0</v>
      </c>
      <c r="N581" s="107" t="n">
        <v>10000000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2026-09-18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DSS to DCS</t>
        </is>
      </c>
      <c r="K582" s="106" t="n">
        <v>45916</v>
      </c>
      <c r="L582" s="106" t="n">
        <v>45979</v>
      </c>
      <c r="M582" s="107" t="n">
        <v>2123268</v>
      </c>
      <c r="N582" s="107" t="n">
        <v>3267212109.945946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2026-09-18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DCS to FG</t>
        </is>
      </c>
      <c r="K583" s="106" t="n">
        <v>45915</v>
      </c>
      <c r="L583" s="106" t="n">
        <v>45974</v>
      </c>
      <c r="M583" s="107" t="n">
        <v>663960</v>
      </c>
      <c r="N583" s="107" t="n">
        <v>681988607.5675676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2026-09-18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Corn</t>
        </is>
      </c>
      <c r="K584" s="106" t="n">
        <v>45957</v>
      </c>
      <c r="L584" s="106" t="n">
        <v>45971</v>
      </c>
      <c r="M584" s="107" t="n">
        <v>19020</v>
      </c>
      <c r="N584" s="107" t="n">
        <v>9768226.486486487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2026-09-18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Processing</t>
        </is>
      </c>
      <c r="I585" s="105" t="inlineStr">
        <is>
          <t>Tolling</t>
        </is>
      </c>
      <c r="J585" s="105" t="inlineStr">
        <is>
          <t>Field Corn</t>
        </is>
      </c>
      <c r="K585" s="106" t="n">
        <v>45957</v>
      </c>
      <c r="L585" s="106" t="n">
        <v>45959</v>
      </c>
      <c r="M585" s="107" t="n">
        <v>13436</v>
      </c>
      <c r="N585" s="107" t="n">
        <v>3364447.027027028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2026-09-18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Processing</t>
        </is>
      </c>
      <c r="I586" s="105" t="inlineStr">
        <is>
          <t>Tolling</t>
        </is>
      </c>
      <c r="J586" s="105" t="inlineStr">
        <is>
          <t>Sweet Corn</t>
        </is>
      </c>
      <c r="K586" s="106" t="n">
        <v>45895</v>
      </c>
      <c r="L586" s="106" t="n">
        <v>45972</v>
      </c>
      <c r="M586" s="107" t="n">
        <v>31609</v>
      </c>
      <c r="N586" s="107" t="n">
        <v>91876826.66666666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2026-09-18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inlineStr">
        <is>
          <t>Sweet Corn</t>
        </is>
      </c>
      <c r="K587" s="106" t="n">
        <v>45952</v>
      </c>
      <c r="L587" s="106" t="n">
        <v>45978</v>
      </c>
      <c r="M587" s="107" t="n">
        <v>16543</v>
      </c>
      <c r="N587" s="107" t="n">
        <v>33058428.33333333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2026-09-18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inlineStr">
        <is>
          <t>WH</t>
        </is>
      </c>
      <c r="K588" s="106" t="n">
        <v>45962</v>
      </c>
      <c r="L588" s="106" t="n">
        <v>45991</v>
      </c>
      <c r="M588" s="107" t="n">
        <v>0</v>
      </c>
      <c r="N588" s="107" t="n">
        <v>1068248720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2026-09-18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inlineStr">
        <is>
          <t>Office</t>
        </is>
      </c>
      <c r="K589" s="106" t="n">
        <v>45901</v>
      </c>
      <c r="L589" s="106" t="n">
        <v>45991</v>
      </c>
      <c r="M589" s="107" t="n">
        <v>0</v>
      </c>
      <c r="N589" s="107" t="n">
        <v>22509333.69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2026-09-18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45932</v>
      </c>
      <c r="L590" s="106" t="n">
        <v>45975</v>
      </c>
      <c r="M590" s="107" t="n">
        <v>192690</v>
      </c>
      <c r="N590" s="107" t="n">
        <v>951010211.3513514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2026-09-18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inlineStr">
        <is>
          <t>Corn</t>
        </is>
      </c>
      <c r="K591" s="106" t="n">
        <v>45931</v>
      </c>
      <c r="L591" s="106" t="n">
        <v>45954</v>
      </c>
      <c r="M591" s="107" t="n">
        <v>76400</v>
      </c>
      <c r="N591" s="107" t="n">
        <v>266483200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2026-09-18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inlineStr">
        <is>
          <t>Corn</t>
        </is>
      </c>
      <c r="K592" s="106" t="n">
        <v>45957</v>
      </c>
      <c r="L592" s="106" t="n">
        <v>45972</v>
      </c>
      <c r="M592" s="107" t="n">
        <v>99230</v>
      </c>
      <c r="N592" s="107" t="n">
        <v>513812046.036036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2026-09-18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45945</v>
      </c>
      <c r="L593" s="106" t="n">
        <v>45979</v>
      </c>
      <c r="M593" s="107" t="n">
        <v>5860</v>
      </c>
      <c r="N593" s="107" t="n">
        <v>78501146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2026-09-18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45967</v>
      </c>
      <c r="L594" s="106" t="n">
        <v>45980</v>
      </c>
      <c r="M594" s="107" t="n">
        <v>2005</v>
      </c>
      <c r="N594" s="107" t="n">
        <v>26859180.5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2026-09-18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45959</v>
      </c>
      <c r="L595" s="106" t="n">
        <v>45972</v>
      </c>
      <c r="M595" s="107" t="n">
        <v>5525</v>
      </c>
      <c r="N595" s="107" t="n">
        <v>74013452.5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2026-09-18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n"/>
      <c r="K596" s="106" t="n">
        <v>45944</v>
      </c>
      <c r="L596" s="106" t="n">
        <v>45974</v>
      </c>
      <c r="M596" s="107" t="n">
        <v>161345</v>
      </c>
      <c r="N596" s="107" t="n">
        <v>1071024244.5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2026-09-18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n"/>
      <c r="K597" s="106" t="n">
        <v>45940</v>
      </c>
      <c r="L597" s="106" t="n">
        <v>45981</v>
      </c>
      <c r="M597" s="107" t="n">
        <v>439765</v>
      </c>
      <c r="N597" s="107" t="n">
        <v>2919204046.5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2026-09-18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n"/>
      <c r="K598" s="106" t="n">
        <v>45874</v>
      </c>
      <c r="L598" s="106" t="n">
        <v>45981</v>
      </c>
      <c r="M598" s="107" t="n">
        <v>81215</v>
      </c>
      <c r="N598" s="107" t="n">
        <v>539113291.5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2026-09-18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NTB to DSS</t>
        </is>
      </c>
      <c r="K599" s="106" t="n">
        <v>45962</v>
      </c>
      <c r="L599" s="106" t="n">
        <v>45991</v>
      </c>
      <c r="M599" s="107" t="n">
        <v>1729452.95</v>
      </c>
      <c r="N599" s="107" t="n">
        <v>10514072567.16129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2026-09-18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DCS to FG</t>
        </is>
      </c>
      <c r="K600" s="106" t="n">
        <v>45962</v>
      </c>
      <c r="L600" s="106" t="n">
        <v>45991</v>
      </c>
      <c r="M600" s="107" t="n">
        <v>332306.25</v>
      </c>
      <c r="N600" s="107" t="n">
        <v>577205657.75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2026-09-18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DCS to FG</t>
        </is>
      </c>
      <c r="K601" s="106" t="n">
        <v>45962</v>
      </c>
      <c r="L601" s="106" t="n">
        <v>45991</v>
      </c>
      <c r="M601" s="107" t="n">
        <v>16.5</v>
      </c>
      <c r="N601" s="107" t="n">
        <v>42990.145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2026-09-18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DCS to FG</t>
        </is>
      </c>
      <c r="K602" s="106" t="n">
        <v>45962</v>
      </c>
      <c r="L602" s="106" t="n">
        <v>45991</v>
      </c>
      <c r="M602" s="107" t="n">
        <v>7184.5</v>
      </c>
      <c r="N602" s="107" t="n">
        <v>6239626.922612612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2026-09-18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Processing</t>
        </is>
      </c>
      <c r="I603" s="105" t="inlineStr">
        <is>
          <t>Tolling</t>
        </is>
      </c>
      <c r="J603" s="105" t="inlineStr">
        <is>
          <t>NTB to DSS</t>
        </is>
      </c>
      <c r="K603" s="106" t="n">
        <v>45962</v>
      </c>
      <c r="L603" s="106" t="n">
        <v>45991</v>
      </c>
      <c r="M603" s="107" t="n">
        <v>7570.05</v>
      </c>
      <c r="N603" s="107" t="n">
        <v>46021520.87285136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2026-09-18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Processing</t>
        </is>
      </c>
      <c r="I604" s="105" t="inlineStr">
        <is>
          <t>Tolling</t>
        </is>
      </c>
      <c r="J604" s="105" t="inlineStr">
        <is>
          <t>Field Corn</t>
        </is>
      </c>
      <c r="K604" s="106" t="n">
        <v>45916</v>
      </c>
      <c r="L604" s="106" t="n">
        <v>45964</v>
      </c>
      <c r="M604" s="107" t="n">
        <v>5675501</v>
      </c>
      <c r="N604" s="107" t="n">
        <v>22415570156.73874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2026-09-18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Processing</t>
        </is>
      </c>
      <c r="I605" s="105" t="inlineStr">
        <is>
          <t>Tolling</t>
        </is>
      </c>
      <c r="J605" s="105" t="inlineStr">
        <is>
          <t>Sweet Corn</t>
        </is>
      </c>
      <c r="K605" s="106" t="n">
        <v>45933</v>
      </c>
      <c r="L605" s="106" t="n">
        <v>45964</v>
      </c>
      <c r="M605" s="107" t="n">
        <v>241895</v>
      </c>
      <c r="N605" s="107" t="n">
        <v>1843283484.684685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2026-09-18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6" t="n">
        <v>45962</v>
      </c>
      <c r="L606" s="106" t="n">
        <v>45991</v>
      </c>
      <c r="M606" s="107" t="n">
        <v>510000</v>
      </c>
      <c r="N606" s="107" t="n">
        <v>206040000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2026-09-18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inlineStr">
        <is>
          <t>CS</t>
        </is>
      </c>
      <c r="K607" s="106" t="n">
        <v>45962</v>
      </c>
      <c r="L607" s="106" t="n">
        <v>45991</v>
      </c>
      <c r="M607" s="107" t="n">
        <v>4000000</v>
      </c>
      <c r="N607" s="107" t="n">
        <v>1276640000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2026-09-18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inlineStr">
        <is>
          <t>Handling</t>
        </is>
      </c>
      <c r="K608" s="106" t="n">
        <v>45962</v>
      </c>
      <c r="L608" s="106" t="n">
        <v>45991</v>
      </c>
      <c r="M608" s="107" t="n">
        <v>751601</v>
      </c>
      <c r="N608" s="107" t="n">
        <v>30364680.4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2026-09-18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inlineStr">
        <is>
          <t>Ambient Storage</t>
        </is>
      </c>
      <c r="K609" s="106" t="n">
        <v>45962</v>
      </c>
      <c r="L609" s="106" t="n">
        <v>45991</v>
      </c>
      <c r="M609" s="107" t="n">
        <v>4000000</v>
      </c>
      <c r="N609" s="107" t="n">
        <v>303000000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2026-09-18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6" t="n">
        <v>45962</v>
      </c>
      <c r="L610" s="106" t="n">
        <v>45991</v>
      </c>
      <c r="M610" s="107" t="n">
        <v>169485</v>
      </c>
      <c r="N610" s="107" t="n">
        <v>3879511.65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2026-09-18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6" t="n">
        <v>45962</v>
      </c>
      <c r="L611" s="106" t="n">
        <v>45991</v>
      </c>
      <c r="M611" s="107" t="n">
        <v>2357000</v>
      </c>
      <c r="N611" s="107" t="n">
        <v>833199500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2026-09-18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6" t="n">
        <v>45962</v>
      </c>
      <c r="L612" s="106" t="n">
        <v>45991</v>
      </c>
      <c r="M612" s="107" t="n">
        <v>2270000</v>
      </c>
      <c r="N612" s="107" t="n">
        <v>802445000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2026-09-18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Processing</t>
        </is>
      </c>
      <c r="I613" s="105" t="inlineStr">
        <is>
          <t>Tolling</t>
        </is>
      </c>
      <c r="J613" s="105" t="n"/>
      <c r="K613" s="106" t="n">
        <v>45995</v>
      </c>
      <c r="L613" s="106" t="n">
        <v>45995</v>
      </c>
      <c r="M613" s="107" t="n">
        <v>661</v>
      </c>
      <c r="N613" s="107" t="n">
        <v>1045430.99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2026-09-18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Processing</t>
        </is>
      </c>
      <c r="I614" s="105" t="inlineStr">
        <is>
          <t>Tolling</t>
        </is>
      </c>
      <c r="J614" s="105" t="n"/>
      <c r="K614" s="106" t="n">
        <v>45995</v>
      </c>
      <c r="L614" s="106" t="n">
        <v>45995</v>
      </c>
      <c r="M614" s="107" t="n">
        <v>146</v>
      </c>
      <c r="N614" s="107" t="n">
        <v>230912.14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2026-09-18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n"/>
      <c r="K615" s="106" t="n">
        <v>45995</v>
      </c>
      <c r="L615" s="106" t="n">
        <v>45995</v>
      </c>
      <c r="M615" s="107" t="n">
        <v>115</v>
      </c>
      <c r="N615" s="107" t="n">
        <v>181882.85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2026-09-18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WH</t>
        </is>
      </c>
      <c r="K616" s="106" t="n">
        <v>45931</v>
      </c>
      <c r="L616" s="106" t="n">
        <v>45991</v>
      </c>
      <c r="M616" s="107" t="n">
        <v>372827.620000011</v>
      </c>
      <c r="N616" s="107" t="n">
        <v>1764045.639855908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2026-09-18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WH</t>
        </is>
      </c>
      <c r="K617" s="106" t="n">
        <v>45931</v>
      </c>
      <c r="L617" s="106" t="n">
        <v>45991</v>
      </c>
      <c r="M617" s="107" t="n">
        <v>847628.050000012</v>
      </c>
      <c r="N617" s="107" t="n">
        <v>4164831.878108167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2026-09-18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NTB to DSS</t>
        </is>
      </c>
      <c r="K618" s="106" t="n">
        <v>45962</v>
      </c>
      <c r="L618" s="106" t="n">
        <v>45991</v>
      </c>
      <c r="M618" s="107" t="n">
        <v>59383.7</v>
      </c>
      <c r="N618" s="107" t="n">
        <v>618889378.065135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2026-09-18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inlineStr">
        <is>
          <t>CS</t>
        </is>
      </c>
      <c r="K619" s="106" t="n">
        <v>45931</v>
      </c>
      <c r="L619" s="106" t="n">
        <v>45961</v>
      </c>
      <c r="M619" s="107" t="n">
        <v>1302427.236710863</v>
      </c>
      <c r="N619" s="107" t="n">
        <v>425447830.4135063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2026-09-18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inlineStr">
        <is>
          <t>CS</t>
        </is>
      </c>
      <c r="K620" s="106" t="n">
        <v>45962</v>
      </c>
      <c r="L620" s="106" t="n">
        <v>45991</v>
      </c>
      <c r="M620" s="107" t="n">
        <v>2851362.502061279</v>
      </c>
      <c r="N620" s="107" t="n">
        <v>931419396.0562155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2026-09-18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Processing</t>
        </is>
      </c>
      <c r="I621" s="105" t="inlineStr">
        <is>
          <t>Tolling</t>
        </is>
      </c>
      <c r="J621" s="105" t="inlineStr">
        <is>
          <t>Field Corn</t>
        </is>
      </c>
      <c r="K621" s="106" t="n">
        <v>45916</v>
      </c>
      <c r="L621" s="106" t="n">
        <v>45964</v>
      </c>
      <c r="M621" s="107" t="n">
        <v>0</v>
      </c>
      <c r="N621" s="107" t="n">
        <v>-11099220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2026-09-18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Processing</t>
        </is>
      </c>
      <c r="I622" s="105" t="inlineStr">
        <is>
          <t>Tolling</t>
        </is>
      </c>
      <c r="J622" s="105" t="n"/>
      <c r="K622" s="106" t="n">
        <v>45932</v>
      </c>
      <c r="L622" s="106" t="n">
        <v>45975</v>
      </c>
      <c r="M622" s="107" t="n">
        <v>0</v>
      </c>
      <c r="N622" s="107" t="n">
        <v>-193653450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2026-09-18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Processing</t>
        </is>
      </c>
      <c r="I623" s="105" t="inlineStr">
        <is>
          <t>Tolling</t>
        </is>
      </c>
      <c r="J623" s="105" t="n"/>
      <c r="K623" s="106" t="n">
        <v>45930</v>
      </c>
      <c r="L623" s="106" t="n">
        <v>45960</v>
      </c>
      <c r="M623" s="107" t="n">
        <v>0</v>
      </c>
      <c r="N623" s="107" t="n">
        <v>-2351700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2026-09-18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inlineStr">
        <is>
          <t>Office</t>
        </is>
      </c>
      <c r="K624" s="106" t="n">
        <v>45992</v>
      </c>
      <c r="L624" s="106" t="n">
        <v>46022</v>
      </c>
      <c r="M624" s="107" t="n">
        <v>0</v>
      </c>
      <c r="N624" s="107" t="n">
        <v>7503111.657657657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2026-09-18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inlineStr">
        <is>
          <t>WH</t>
        </is>
      </c>
      <c r="K625" s="106" t="n">
        <v>45992</v>
      </c>
      <c r="L625" s="106" t="n">
        <v>46022</v>
      </c>
      <c r="M625" s="107" t="n">
        <v>7000000</v>
      </c>
      <c r="N625" s="107" t="n">
        <v>1068248720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2026-09-18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inlineStr">
        <is>
          <t>Handling</t>
        </is>
      </c>
      <c r="K626" s="106" t="n">
        <v>45962</v>
      </c>
      <c r="L626" s="106" t="n">
        <v>45991</v>
      </c>
      <c r="M626" s="107" t="n">
        <v>546223</v>
      </c>
      <c r="N626" s="107" t="n">
        <v>44134818.4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2026-09-18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Field Corn</t>
        </is>
      </c>
      <c r="K627" s="106" t="n">
        <v>45941</v>
      </c>
      <c r="L627" s="106" t="n">
        <v>45988</v>
      </c>
      <c r="M627" s="107" t="n">
        <v>186137</v>
      </c>
      <c r="N627" s="107" t="n">
        <v>286421243.3423424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2026-09-18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Corn</t>
        </is>
      </c>
      <c r="K628" s="106" t="n">
        <v>45983</v>
      </c>
      <c r="L628" s="106" t="n">
        <v>45992</v>
      </c>
      <c r="M628" s="107" t="n">
        <v>441960</v>
      </c>
      <c r="N628" s="107" t="n">
        <v>453960607.5675676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2026-09-18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inlineStr">
        <is>
          <t>Sweet Corn</t>
        </is>
      </c>
      <c r="K629" s="106" t="n">
        <v>45982</v>
      </c>
      <c r="L629" s="106" t="n">
        <v>45987</v>
      </c>
      <c r="M629" s="107" t="n">
        <v>9858</v>
      </c>
      <c r="N629" s="107" t="n">
        <v>19777013.02702703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2026-09-18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Processing</t>
        </is>
      </c>
      <c r="I630" s="105" t="inlineStr">
        <is>
          <t>Tolling</t>
        </is>
      </c>
      <c r="J630" s="105" t="inlineStr">
        <is>
          <t>Parent Seed</t>
        </is>
      </c>
      <c r="K630" s="106" t="n">
        <v>45932</v>
      </c>
      <c r="L630" s="106" t="n">
        <v>45975</v>
      </c>
      <c r="M630" s="107" t="n">
        <v>53963</v>
      </c>
      <c r="N630" s="107" t="n">
        <v>266331226.5045045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2026-09-18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Processing</t>
        </is>
      </c>
      <c r="I631" s="105" t="inlineStr">
        <is>
          <t>Tolling</t>
        </is>
      </c>
      <c r="J631" s="105" t="inlineStr">
        <is>
          <t>Parent Seed</t>
        </is>
      </c>
      <c r="K631" s="106" t="n">
        <v>45972</v>
      </c>
      <c r="L631" s="106" t="n">
        <v>45986</v>
      </c>
      <c r="M631" s="107" t="n">
        <v>700</v>
      </c>
      <c r="N631" s="107" t="n">
        <v>3454809.00900901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2026-09-18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n"/>
      <c r="K632" s="106" t="n">
        <v>45941</v>
      </c>
      <c r="L632" s="106" t="n">
        <v>45975</v>
      </c>
      <c r="M632" s="107" t="n">
        <v>948653</v>
      </c>
      <c r="N632" s="107" t="n">
        <v>3372247754.414414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2026-09-18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6" t="n">
        <v>45932</v>
      </c>
      <c r="L633" s="106" t="n">
        <v>45975</v>
      </c>
      <c r="M633" s="107" t="n">
        <v>53963</v>
      </c>
      <c r="N633" s="107" t="n">
        <v>-54232815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2026-09-18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6" t="n">
        <v>45972</v>
      </c>
      <c r="L634" s="106" t="n">
        <v>45986</v>
      </c>
      <c r="M634" s="107" t="n">
        <v>700</v>
      </c>
      <c r="N634" s="107" t="n">
        <v>-703500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2026-09-18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Field Corn</t>
        </is>
      </c>
      <c r="K635" s="106" t="n">
        <v>45950</v>
      </c>
      <c r="L635" s="106" t="n">
        <v>45982</v>
      </c>
      <c r="M635" s="107" t="n">
        <v>3785334</v>
      </c>
      <c r="N635" s="107" t="n">
        <v>13456009817.29729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2026-09-18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Processing</t>
        </is>
      </c>
      <c r="I636" s="105" t="inlineStr">
        <is>
          <t>Tolling</t>
        </is>
      </c>
      <c r="J636" s="105" t="inlineStr">
        <is>
          <t>Field Corn</t>
        </is>
      </c>
      <c r="K636" s="106" t="n">
        <v>45955</v>
      </c>
      <c r="L636" s="106" t="n">
        <v>45987</v>
      </c>
      <c r="M636" s="107" t="n">
        <v>2836033</v>
      </c>
      <c r="N636" s="107" t="n">
        <v>11201001757.96396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2026-09-18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6" t="n">
        <v>45955</v>
      </c>
      <c r="L637" s="106" t="n">
        <v>45991</v>
      </c>
      <c r="M637" s="107" t="n">
        <v>2836033</v>
      </c>
      <c r="N637" s="107" t="n">
        <v>-2280170532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2026-09-18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Processing</t>
        </is>
      </c>
      <c r="I638" s="105" t="inlineStr">
        <is>
          <t>Tolling</t>
        </is>
      </c>
      <c r="J638" s="105" t="inlineStr">
        <is>
          <t>Sweet Corn</t>
        </is>
      </c>
      <c r="K638" s="106" t="n">
        <v>45947</v>
      </c>
      <c r="L638" s="106" t="n">
        <v>45989</v>
      </c>
      <c r="M638" s="107" t="n">
        <v>96860</v>
      </c>
      <c r="N638" s="107" t="n">
        <v>743512194.4144144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2026-09-18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6" t="n">
        <v>45947</v>
      </c>
      <c r="L639" s="106" t="n">
        <v>45993</v>
      </c>
      <c r="M639" s="107" t="n">
        <v>96860</v>
      </c>
      <c r="N639" s="107" t="n">
        <v>-151392180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2026-09-18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46020</v>
      </c>
      <c r="M640" s="107" t="n">
        <v>69</v>
      </c>
      <c r="N640" s="107" t="n">
        <v>759000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2026-09-18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6" t="n">
        <v>45992</v>
      </c>
      <c r="L641" s="106" t="n">
        <v>46020</v>
      </c>
      <c r="M641" s="107" t="n">
        <v>17216</v>
      </c>
      <c r="N641" s="107" t="n">
        <v>18366948.1344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2026-09-18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Processing</t>
        </is>
      </c>
      <c r="I642" s="105" t="inlineStr">
        <is>
          <t>Tolling</t>
        </is>
      </c>
      <c r="J642" s="105" t="inlineStr">
        <is>
          <t>Field Corn</t>
        </is>
      </c>
      <c r="K642" s="106" t="n">
        <v>45966</v>
      </c>
      <c r="L642" s="106" t="n">
        <v>45988</v>
      </c>
      <c r="M642" s="107" t="n">
        <v>87835</v>
      </c>
      <c r="N642" s="107" t="n">
        <v>454808838.6936937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2026-09-18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6" t="n">
        <v>45992</v>
      </c>
      <c r="L643" s="106" t="n">
        <v>46022</v>
      </c>
      <c r="M643" s="107" t="n">
        <v>0</v>
      </c>
      <c r="N643" s="107" t="n">
        <v>10000000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2026-09-18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inlineStr">
        <is>
          <t>CS, WH</t>
        </is>
      </c>
      <c r="K644" s="106" t="n">
        <v>45962</v>
      </c>
      <c r="L644" s="106" t="n">
        <v>45991</v>
      </c>
      <c r="M644" s="107" t="n">
        <v>4511383</v>
      </c>
      <c r="N644" s="107" t="n">
        <v>1172650299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2026-09-18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6" t="n">
        <v>45992</v>
      </c>
      <c r="L645" s="106" t="n">
        <v>46022</v>
      </c>
      <c r="M645" s="107" t="n">
        <v>0</v>
      </c>
      <c r="N645" s="107" t="n">
        <v>192258045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2026-09-18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n"/>
      <c r="K646" s="106" t="n">
        <v>45880</v>
      </c>
      <c r="L646" s="106" t="n">
        <v>45902</v>
      </c>
      <c r="M646" s="107" t="n">
        <v>23500</v>
      </c>
      <c r="N646" s="107" t="n">
        <v>92813990.990991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2026-09-18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n"/>
      <c r="K647" s="106" t="n">
        <v>45880</v>
      </c>
      <c r="L647" s="106" t="n">
        <v>45902</v>
      </c>
      <c r="M647" s="107" t="n">
        <v>23500</v>
      </c>
      <c r="N647" s="107" t="n">
        <v>-18894000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2026-09-18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inlineStr">
        <is>
          <t>DCS to FG</t>
        </is>
      </c>
      <c r="K648" s="106" t="n">
        <v>45992</v>
      </c>
      <c r="L648" s="106" t="n">
        <v>46022</v>
      </c>
      <c r="M648" s="107" t="n">
        <v>307038.25</v>
      </c>
      <c r="N648" s="107" t="n">
        <v>533315924.8303604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2026-09-18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DCS to FG</t>
        </is>
      </c>
      <c r="K649" s="106" t="n">
        <v>45992</v>
      </c>
      <c r="L649" s="106" t="n">
        <v>46022</v>
      </c>
      <c r="M649" s="107" t="n">
        <v>7897.3</v>
      </c>
      <c r="N649" s="107" t="n">
        <v>6858682.677423423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2026-09-18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Processing</t>
        </is>
      </c>
      <c r="I650" s="105" t="inlineStr">
        <is>
          <t>Tolling</t>
        </is>
      </c>
      <c r="J650" s="105" t="inlineStr">
        <is>
          <t>NTB to DSS</t>
        </is>
      </c>
      <c r="K650" s="106" t="n">
        <v>45992</v>
      </c>
      <c r="L650" s="106" t="n">
        <v>46022</v>
      </c>
      <c r="M650" s="107" t="n">
        <v>1713.85</v>
      </c>
      <c r="N650" s="107" t="n">
        <v>17861526.99472973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2026-09-18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45953</v>
      </c>
      <c r="L651" s="106" t="n">
        <v>45990</v>
      </c>
      <c r="M651" s="107" t="n">
        <v>2722.5</v>
      </c>
      <c r="N651" s="107" t="n">
        <v>7966868.918918919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2026-09-18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Processing</t>
        </is>
      </c>
      <c r="I652" s="105" t="inlineStr">
        <is>
          <t>Tolling</t>
        </is>
      </c>
      <c r="J652" s="105" t="inlineStr">
        <is>
          <t>Sweet Corn</t>
        </is>
      </c>
      <c r="K652" s="106" t="n">
        <v>45915</v>
      </c>
      <c r="L652" s="106" t="n">
        <v>45961</v>
      </c>
      <c r="M652" s="107" t="n">
        <v>47724</v>
      </c>
      <c r="N652" s="107" t="n">
        <v>328751718.3783784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2026-09-18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6" t="n">
        <v>45992</v>
      </c>
      <c r="L653" s="106" t="n">
        <v>46022</v>
      </c>
      <c r="M653" s="107" t="n">
        <v>510000</v>
      </c>
      <c r="N653" s="107" t="n">
        <v>206040000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2026-09-18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Processing</t>
        </is>
      </c>
      <c r="I654" s="105" t="inlineStr">
        <is>
          <t>Tolling</t>
        </is>
      </c>
      <c r="J654" s="105" t="n"/>
      <c r="K654" s="106" t="n">
        <v>45985</v>
      </c>
      <c r="L654" s="106" t="n">
        <v>46015</v>
      </c>
      <c r="M654" s="107" t="n">
        <v>960888</v>
      </c>
      <c r="N654" s="107" t="n">
        <v>3795057454.270271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2026-09-18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inlineStr">
        <is>
          <t>01/CR/PT.ASI/I/2026</t>
        </is>
      </c>
      <c r="K655" s="106" t="n">
        <v>45985</v>
      </c>
      <c r="L655" s="106" t="n">
        <v>46015</v>
      </c>
      <c r="M655" s="107" t="n">
        <v>942670</v>
      </c>
      <c r="N655" s="107" t="n">
        <v>-757906680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2026-09-18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Processing</t>
        </is>
      </c>
      <c r="I656" s="105" t="inlineStr">
        <is>
          <t>Tolling</t>
        </is>
      </c>
      <c r="J656" s="105" t="n"/>
      <c r="K656" s="106" t="n">
        <v>45985</v>
      </c>
      <c r="L656" s="106" t="n">
        <v>46015</v>
      </c>
      <c r="M656" s="107" t="n">
        <v>97152</v>
      </c>
      <c r="N656" s="107" t="n">
        <v>479488006.918919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2026-09-18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inlineStr">
        <is>
          <t>02/CR/PT.ASI/I/2026</t>
        </is>
      </c>
      <c r="K657" s="106" t="n">
        <v>45985</v>
      </c>
      <c r="L657" s="106" t="n">
        <v>46015</v>
      </c>
      <c r="M657" s="107" t="n">
        <v>97152</v>
      </c>
      <c r="N657" s="107" t="n">
        <v>-97637759.99999999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2026-09-18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Processing</t>
        </is>
      </c>
      <c r="I658" s="105" t="inlineStr">
        <is>
          <t>Tolling</t>
        </is>
      </c>
      <c r="J658" s="105" t="n"/>
      <c r="K658" s="106" t="n">
        <v>45985</v>
      </c>
      <c r="L658" s="106" t="n">
        <v>46015</v>
      </c>
      <c r="M658" s="107" t="n">
        <v>1026</v>
      </c>
      <c r="N658" s="107" t="n">
        <v>5063762.918918919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2026-09-18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inlineStr">
        <is>
          <t>03/CR/PT.ASI/I/2026</t>
        </is>
      </c>
      <c r="K659" s="106" t="n">
        <v>45985</v>
      </c>
      <c r="L659" s="106" t="n">
        <v>46015</v>
      </c>
      <c r="M659" s="107" t="n">
        <v>1026</v>
      </c>
      <c r="N659" s="107" t="n">
        <v>-1031130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2026-09-18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6" t="n">
        <v>45992</v>
      </c>
      <c r="L660" s="106" t="n">
        <v>46022</v>
      </c>
      <c r="M660" s="107" t="n">
        <v>2165000</v>
      </c>
      <c r="N660" s="107" t="n">
        <v>765327500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2026-09-18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6" t="n">
        <v>45992</v>
      </c>
      <c r="L661" s="106" t="n">
        <v>46022</v>
      </c>
      <c r="M661" s="107" t="n">
        <v>101114</v>
      </c>
      <c r="N661" s="107" t="n">
        <v>2314499.46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2026-09-18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6" t="n">
        <v>45992</v>
      </c>
      <c r="L662" s="106" t="n">
        <v>46022</v>
      </c>
      <c r="M662" s="107" t="n">
        <v>2270000</v>
      </c>
      <c r="N662" s="107" t="n">
        <v>802445000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2026-09-18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n"/>
      <c r="K663" s="106" t="n">
        <v>45989</v>
      </c>
      <c r="L663" s="106" t="n">
        <v>46021</v>
      </c>
      <c r="M663" s="107" t="n">
        <v>43907</v>
      </c>
      <c r="N663" s="107" t="n">
        <v>339278882.4054054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2026-09-18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inlineStr">
        <is>
          <t>04/CR/PT.ASI/I/2026</t>
        </is>
      </c>
      <c r="K664" s="106" t="n">
        <v>45989</v>
      </c>
      <c r="L664" s="106" t="n">
        <v>46021</v>
      </c>
      <c r="M664" s="107" t="n">
        <v>43907</v>
      </c>
      <c r="N664" s="107" t="n">
        <v>-69109618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2026-09-18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45988</v>
      </c>
      <c r="L665" s="106" t="n">
        <v>46001</v>
      </c>
      <c r="M665" s="107" t="n">
        <v>3215</v>
      </c>
      <c r="N665" s="107" t="n">
        <v>43068461.5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2026-09-18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45918</v>
      </c>
      <c r="L666" s="106" t="n">
        <v>45992</v>
      </c>
      <c r="M666" s="107" t="n">
        <v>19900</v>
      </c>
      <c r="N666" s="107" t="n">
        <v>132098190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2026-09-18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46002</v>
      </c>
      <c r="M667" s="107" t="n">
        <v>1015</v>
      </c>
      <c r="N667" s="107" t="n">
        <v>13597041.5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2026-09-18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inlineStr">
        <is>
          <t>FC Wetcob to DCS</t>
        </is>
      </c>
      <c r="K668" s="106" t="n">
        <v>45980</v>
      </c>
      <c r="L668" s="106" t="n">
        <v>46001</v>
      </c>
      <c r="M668" s="107" t="n">
        <v>45250</v>
      </c>
      <c r="N668" s="107" t="n">
        <v>300374025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2026-09-18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inlineStr">
        <is>
          <t>FC Wetcob to DCS</t>
        </is>
      </c>
      <c r="K669" s="106" t="n">
        <v>45988</v>
      </c>
      <c r="L669" s="106" t="n">
        <v>46006</v>
      </c>
      <c r="M669" s="107" t="n">
        <v>9045</v>
      </c>
      <c r="N669" s="107" t="n">
        <v>121167724.5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2026-09-18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inlineStr">
        <is>
          <t>FC Wetcob to DCS</t>
        </is>
      </c>
      <c r="K670" s="106" t="n">
        <v>45982</v>
      </c>
      <c r="L670" s="106" t="n">
        <v>46003</v>
      </c>
      <c r="M670" s="107" t="n">
        <v>97881</v>
      </c>
      <c r="N670" s="107" t="n">
        <v>649743866.1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2026-09-18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Processing</t>
        </is>
      </c>
      <c r="I671" s="105" t="inlineStr">
        <is>
          <t>Tolling</t>
        </is>
      </c>
      <c r="J671" s="105" t="n"/>
      <c r="K671" s="106" t="n">
        <v>45912</v>
      </c>
      <c r="L671" s="106" t="n">
        <v>45990</v>
      </c>
      <c r="M671" s="107" t="n">
        <v>150374</v>
      </c>
      <c r="N671" s="107" t="n">
        <v>1049304353.117117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2026-09-18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Processing</t>
        </is>
      </c>
      <c r="I672" s="105" t="inlineStr">
        <is>
          <t>Tolling</t>
        </is>
      </c>
      <c r="J672" s="105" t="n"/>
      <c r="K672" s="106" t="n">
        <v>45934</v>
      </c>
      <c r="L672" s="106" t="n">
        <v>45981</v>
      </c>
      <c r="M672" s="107" t="n">
        <v>10207</v>
      </c>
      <c r="N672" s="107" t="n">
        <v>30089316.45045045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2026-09-18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Processing</t>
        </is>
      </c>
      <c r="I673" s="105" t="inlineStr">
        <is>
          <t>Tolling</t>
        </is>
      </c>
      <c r="J673" s="105" t="n"/>
      <c r="K673" s="106" t="n">
        <v>45997</v>
      </c>
      <c r="L673" s="106" t="n">
        <v>46017</v>
      </c>
      <c r="M673" s="107" t="n">
        <v>632422</v>
      </c>
      <c r="N673" s="107" t="n">
        <v>649594251.4234234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2026-09-18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Processing - LMB</t>
        </is>
      </c>
      <c r="I674" s="105" t="inlineStr">
        <is>
          <t>Tolling</t>
        </is>
      </c>
      <c r="J674" s="105" t="n"/>
      <c r="K674" s="106" t="n">
        <v>45985</v>
      </c>
      <c r="L674" s="106" t="n">
        <v>46028</v>
      </c>
      <c r="M674" s="107" t="n">
        <v>45155</v>
      </c>
      <c r="N674" s="107" t="n">
        <v>233812183.1981982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2026-09-18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1276640000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2026-09-18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6" t="n">
        <v>45992</v>
      </c>
      <c r="L676" s="106" t="n">
        <v>46022</v>
      </c>
      <c r="M676" s="107" t="n">
        <v>1147952</v>
      </c>
      <c r="N676" s="107" t="n">
        <v>46377260.8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2026-09-18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6" t="n">
        <v>45992</v>
      </c>
      <c r="L677" s="106" t="n">
        <v>46022</v>
      </c>
      <c r="M677" s="107" t="n">
        <v>4514937</v>
      </c>
      <c r="N677" s="107" t="n">
        <v>1173727161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2026-09-18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6" t="n">
        <v>45992</v>
      </c>
      <c r="L678" s="106" t="n">
        <v>46022</v>
      </c>
      <c r="M678" s="107" t="n">
        <v>4000000</v>
      </c>
      <c r="N678" s="107" t="n">
        <v>303000000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2026-09-18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Processing</t>
        </is>
      </c>
      <c r="I679" s="105" t="inlineStr">
        <is>
          <t>Tolling</t>
        </is>
      </c>
      <c r="J679" s="105" t="n"/>
      <c r="K679" s="106" t="n">
        <v>45964</v>
      </c>
      <c r="L679" s="106" t="n">
        <v>46036</v>
      </c>
      <c r="M679" s="107" t="n">
        <v>748579</v>
      </c>
      <c r="N679" s="107" t="n">
        <v>1151887738.171171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2026-09-18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Processing</t>
        </is>
      </c>
      <c r="I680" s="105" t="inlineStr">
        <is>
          <t>Tolling</t>
        </is>
      </c>
      <c r="J680" s="105" t="n"/>
      <c r="K680" s="106" t="n">
        <v>45994</v>
      </c>
      <c r="L680" s="106" t="n">
        <v>46010</v>
      </c>
      <c r="M680" s="107" t="n">
        <v>16315</v>
      </c>
      <c r="N680" s="107" t="n">
        <v>33067418.37837838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2026-09-18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10000000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2026-09-18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6" t="n">
        <v>46023</v>
      </c>
      <c r="L682" s="106" t="n">
        <v>46053</v>
      </c>
      <c r="M682" s="107" t="n">
        <v>20631.83999999997</v>
      </c>
      <c r="N682" s="107" t="n">
        <v>22011148.65225596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2026-09-18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6" t="n">
        <v>46023</v>
      </c>
      <c r="L683" s="106" t="n">
        <v>46053</v>
      </c>
      <c r="M683" s="107" t="n">
        <v>86</v>
      </c>
      <c r="N683" s="107" t="n">
        <v>946000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2026-09-18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6" t="n">
        <v>46023</v>
      </c>
      <c r="L684" s="106" t="n">
        <v>46053</v>
      </c>
      <c r="M684" s="107" t="n">
        <v>0</v>
      </c>
      <c r="N684" s="107" t="n">
        <v>192258045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2026-09-18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Processing</t>
        </is>
      </c>
      <c r="I685" s="105" t="inlineStr">
        <is>
          <t>Tolling</t>
        </is>
      </c>
      <c r="J685" s="105" t="n"/>
      <c r="K685" s="106" t="n">
        <v>46036</v>
      </c>
      <c r="L685" s="106" t="n">
        <v>46044</v>
      </c>
      <c r="M685" s="107" t="n">
        <v>169362</v>
      </c>
      <c r="N685" s="107" t="n">
        <v>260608447.6216216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2026-09-18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Processing</t>
        </is>
      </c>
      <c r="I686" s="105" t="inlineStr">
        <is>
          <t>Tolling</t>
        </is>
      </c>
      <c r="J686" s="105" t="n"/>
      <c r="K686" s="106" t="n">
        <v>46037</v>
      </c>
      <c r="L686" s="106" t="n">
        <v>46043</v>
      </c>
      <c r="M686" s="107" t="n">
        <v>3397.5</v>
      </c>
      <c r="N686" s="107" t="n">
        <v>3489752.837837838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2026-09-18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46041</v>
      </c>
      <c r="L687" s="106" t="n">
        <v>46041</v>
      </c>
      <c r="M687" s="107" t="n">
        <v>3918</v>
      </c>
      <c r="N687" s="107" t="n">
        <v>7879486.27027027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2026-09-18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6" t="n">
        <v>46023</v>
      </c>
      <c r="L688" s="106" t="n">
        <v>46053</v>
      </c>
      <c r="M688" s="107" t="n">
        <v>4000000</v>
      </c>
      <c r="N688" s="107" t="n">
        <v>1276640000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2026-09-18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6" t="n">
        <v>46023</v>
      </c>
      <c r="L689" s="106" t="n">
        <v>46053</v>
      </c>
      <c r="M689" s="107" t="n">
        <v>677191</v>
      </c>
      <c r="N689" s="107" t="n">
        <v>27358516.4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2026-09-18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516758.5</v>
      </c>
      <c r="N690" s="107" t="n">
        <v>448796749.8209909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2026-09-18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Processing</t>
        </is>
      </c>
      <c r="I691" s="105" t="inlineStr">
        <is>
          <t>Tolling</t>
        </is>
      </c>
      <c r="J691" s="105" t="n"/>
      <c r="K691" s="106" t="n">
        <v>46023</v>
      </c>
      <c r="L691" s="106" t="n">
        <v>46053</v>
      </c>
      <c r="M691" s="107" t="n">
        <v>4577</v>
      </c>
      <c r="N691" s="107" t="n">
        <v>11925205.67666667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2026-09-18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Processing</t>
        </is>
      </c>
      <c r="I692" s="105" t="inlineStr">
        <is>
          <t>Tolling</t>
        </is>
      </c>
      <c r="J692" s="105" t="n"/>
      <c r="K692" s="106" t="n">
        <v>46023</v>
      </c>
      <c r="L692" s="106" t="n">
        <v>46053</v>
      </c>
      <c r="M692" s="107" t="n">
        <v>1458.04</v>
      </c>
      <c r="N692" s="107" t="n">
        <v>15195090.7945946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2026-09-18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Processing</t>
        </is>
      </c>
      <c r="I693" s="105" t="inlineStr">
        <is>
          <t>Tolling</t>
        </is>
      </c>
      <c r="J693" s="105" t="n"/>
      <c r="K693" s="106" t="n">
        <v>46023</v>
      </c>
      <c r="L693" s="106" t="n">
        <v>46053</v>
      </c>
      <c r="M693" s="107" t="n">
        <v>460.1</v>
      </c>
      <c r="N693" s="107" t="n">
        <v>799179.441045045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2026-09-18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6" t="n">
        <v>46023</v>
      </c>
      <c r="L694" s="106" t="n">
        <v>46053</v>
      </c>
      <c r="M694" s="107" t="n">
        <v>7000000</v>
      </c>
      <c r="N694" s="107" t="n">
        <v>1068248720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2026-09-18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510000</v>
      </c>
      <c r="N695" s="107" t="n">
        <v>189720000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2026-09-18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51917</v>
      </c>
      <c r="N696" s="107" t="n">
        <v>4194893.6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2026-09-18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Processing</t>
        </is>
      </c>
      <c r="I697" s="105" t="inlineStr">
        <is>
          <t>Tolling</t>
        </is>
      </c>
      <c r="J697" s="105" t="n"/>
      <c r="K697" s="106" t="n">
        <v>46023</v>
      </c>
      <c r="L697" s="106" t="n">
        <v>46053</v>
      </c>
      <c r="M697" s="107" t="n">
        <v>21381</v>
      </c>
      <c r="N697" s="107" t="n">
        <v>282539898.6756757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2026-09-18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6" t="n">
        <v>46023</v>
      </c>
      <c r="L698" s="106" t="n">
        <v>46053</v>
      </c>
      <c r="M698" s="107" t="n">
        <v>2332000</v>
      </c>
      <c r="N698" s="107" t="n">
        <v>824362000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2026-09-18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6" t="n">
        <v>46023</v>
      </c>
      <c r="L699" s="106" t="n">
        <v>46053</v>
      </c>
      <c r="M699" s="107" t="n">
        <v>151937</v>
      </c>
      <c r="N699" s="107" t="n">
        <v>3477837.93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2026-09-18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6" t="n">
        <v>46023</v>
      </c>
      <c r="L700" s="106" t="n">
        <v>46053</v>
      </c>
      <c r="M700" s="107" t="n">
        <v>2270000</v>
      </c>
      <c r="N700" s="107" t="n">
        <v>802445000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2026-09-18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n"/>
      <c r="K701" s="106" t="n">
        <v>46057</v>
      </c>
      <c r="L701" s="106" t="n">
        <v>46065</v>
      </c>
      <c r="M701" s="107" t="n">
        <v>170032</v>
      </c>
      <c r="N701" s="107" t="n">
        <v>627300129.8738737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2026-09-18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inlineStr">
        <is>
          <t>CS</t>
        </is>
      </c>
      <c r="K702" s="106" t="n">
        <v>45992</v>
      </c>
      <c r="L702" s="106" t="n">
        <v>46022</v>
      </c>
      <c r="M702" s="107" t="n">
        <v>2777332.014193548</v>
      </c>
      <c r="N702" s="107" t="n">
        <v>908753043.4477836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2026-09-18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46054</v>
      </c>
      <c r="L703" s="106" t="n">
        <v>46069</v>
      </c>
      <c r="M703" s="107" t="n">
        <v>649600</v>
      </c>
      <c r="N703" s="107" t="n">
        <v>2152259401.801802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2026-09-18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inlineStr">
        <is>
          <t>Wetcob to DSS Pre-Basic</t>
        </is>
      </c>
      <c r="K704" s="106" t="n">
        <v>46049</v>
      </c>
      <c r="L704" s="106" t="n">
        <v>46073</v>
      </c>
      <c r="M704" s="107" t="n">
        <v>1400</v>
      </c>
      <c r="N704" s="107" t="n">
        <v>6909618.018018017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2026-09-18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46049</v>
      </c>
      <c r="L705" s="106" t="n">
        <v>46055</v>
      </c>
      <c r="M705" s="107" t="n">
        <v>41854</v>
      </c>
      <c r="N705" s="107" t="n">
        <v>42990468.07207207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2026-09-18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46034</v>
      </c>
      <c r="L706" s="106" t="n">
        <v>46074</v>
      </c>
      <c r="M706" s="107" t="n">
        <v>5453</v>
      </c>
      <c r="N706" s="107" t="n">
        <v>8390889.72072072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2026-09-18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Processing</t>
        </is>
      </c>
      <c r="I707" s="105" t="inlineStr">
        <is>
          <t>Tolling</t>
        </is>
      </c>
      <c r="J707" s="105" t="n"/>
      <c r="K707" s="106" t="n">
        <v>46035</v>
      </c>
      <c r="L707" s="106" t="n">
        <v>46065</v>
      </c>
      <c r="M707" s="107" t="n">
        <v>2751</v>
      </c>
      <c r="N707" s="107" t="n">
        <v>688865.2702702702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2026-09-18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Processing</t>
        </is>
      </c>
      <c r="I708" s="105" t="inlineStr">
        <is>
          <t>Tolling</t>
        </is>
      </c>
      <c r="J708" s="105" t="n"/>
      <c r="K708" s="106" t="n">
        <v>46071</v>
      </c>
      <c r="L708" s="106" t="n">
        <v>46077</v>
      </c>
      <c r="M708" s="107" t="n">
        <v>308360</v>
      </c>
      <c r="N708" s="107" t="n">
        <v>1013787671.351351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2026-09-18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Processing</t>
        </is>
      </c>
      <c r="I709" s="105" t="inlineStr">
        <is>
          <t>Tolling</t>
        </is>
      </c>
      <c r="J709" s="105" t="n"/>
      <c r="K709" s="106" t="n">
        <v>46072</v>
      </c>
      <c r="L709" s="106" t="n">
        <v>46077</v>
      </c>
      <c r="M709" s="107" t="n">
        <v>6930</v>
      </c>
      <c r="N709" s="107" t="n">
        <v>25315102.7027027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2026-09-18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10000000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2026-09-18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6" t="n">
        <v>46054</v>
      </c>
      <c r="L711" s="106" t="n">
        <v>46081</v>
      </c>
      <c r="M711" s="107" t="n">
        <v>15067.44000000006</v>
      </c>
      <c r="N711" s="107" t="n">
        <v>16074749.59329606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2026-09-18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6" t="n">
        <v>46054</v>
      </c>
      <c r="L712" s="106" t="n">
        <v>46081</v>
      </c>
      <c r="M712" s="107" t="n">
        <v>53</v>
      </c>
      <c r="N712" s="107" t="n">
        <v>583000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2026-09-18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6" t="n">
        <v>46054</v>
      </c>
      <c r="L713" s="106" t="n">
        <v>46081</v>
      </c>
      <c r="M713" s="107" t="n">
        <v>0</v>
      </c>
      <c r="N713" s="107" t="n">
        <v>192258045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2026-09-18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05/CR/PT.ASI/II/2026</t>
        </is>
      </c>
      <c r="K714" s="106" t="n">
        <v>46049</v>
      </c>
      <c r="L714" s="106" t="n">
        <v>46073</v>
      </c>
      <c r="M714" s="107" t="n">
        <v>0</v>
      </c>
      <c r="N714" s="107" t="n">
        <v>-1407000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2026-09-18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46032</v>
      </c>
      <c r="L715" s="106" t="n">
        <v>46069</v>
      </c>
      <c r="M715" s="107" t="n">
        <v>345062</v>
      </c>
      <c r="N715" s="107" t="n">
        <v>530969592.6666666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2026-09-18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46032</v>
      </c>
      <c r="L716" s="106" t="n">
        <v>46069</v>
      </c>
      <c r="M716" s="107" t="n">
        <v>0</v>
      </c>
      <c r="N716" s="107" t="n">
        <v>-4579260.333333373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2026-09-18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06/CR/PT.ASI/II/2026</t>
        </is>
      </c>
      <c r="K717" s="106" t="n">
        <v>46032</v>
      </c>
      <c r="L717" s="106" t="n">
        <v>46069</v>
      </c>
      <c r="M717" s="107" t="n">
        <v>0</v>
      </c>
      <c r="N717" s="107" t="n">
        <v>-108004406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2026-09-18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46059</v>
      </c>
      <c r="L718" s="106" t="n">
        <v>46065</v>
      </c>
      <c r="M718" s="107" t="n">
        <v>299743</v>
      </c>
      <c r="N718" s="107" t="n">
        <v>230764304.5765766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2026-09-18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46059</v>
      </c>
      <c r="L719" s="106" t="n">
        <v>46065</v>
      </c>
      <c r="M719" s="107" t="n">
        <v>0</v>
      </c>
      <c r="N719" s="107" t="n">
        <v>-847899.4234234095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2026-09-18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07/CR/PT.ASI/II/2026</t>
        </is>
      </c>
      <c r="K720" s="106" t="n">
        <v>46059</v>
      </c>
      <c r="L720" s="106" t="n">
        <v>46065</v>
      </c>
      <c r="M720" s="107" t="n">
        <v>0</v>
      </c>
      <c r="N720" s="107" t="n">
        <v>-47059651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2026-09-18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46045</v>
      </c>
      <c r="L721" s="106" t="n">
        <v>46072</v>
      </c>
      <c r="M721" s="107" t="n">
        <v>605265</v>
      </c>
      <c r="N721" s="107" t="n">
        <v>621699853.2432432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2026-09-18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46045</v>
      </c>
      <c r="L722" s="106" t="n">
        <v>46072</v>
      </c>
      <c r="M722" s="107" t="n">
        <v>0</v>
      </c>
      <c r="N722" s="107" t="n">
        <v>-900424.7567567825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2026-09-18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inlineStr">
        <is>
          <t>08/CR/PT.ASI/II/2026</t>
        </is>
      </c>
      <c r="K723" s="106" t="n">
        <v>46045</v>
      </c>
      <c r="L723" s="106" t="n">
        <v>46072</v>
      </c>
      <c r="M723" s="107" t="n">
        <v>0</v>
      </c>
      <c r="N723" s="107" t="n">
        <v>-49972004.49999999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2026-09-18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n"/>
      <c r="K724" s="106" t="n">
        <v>45918</v>
      </c>
      <c r="L724" s="106" t="n">
        <v>45978</v>
      </c>
      <c r="M724" s="107" t="n">
        <v>2704</v>
      </c>
      <c r="N724" s="107" t="n">
        <v>7944595.603603603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2026-09-18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46050</v>
      </c>
      <c r="L725" s="106" t="n">
        <v>46071</v>
      </c>
      <c r="M725" s="107" t="n">
        <v>6450</v>
      </c>
      <c r="N725" s="107" t="n">
        <v>13028593.24324324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2026-09-18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inlineStr">
        <is>
          <t>SC Re-packing (Blending)</t>
        </is>
      </c>
      <c r="K726" s="106" t="n">
        <v>46071</v>
      </c>
      <c r="L726" s="106" t="n">
        <v>46073</v>
      </c>
      <c r="M726" s="107" t="n">
        <v>14269</v>
      </c>
      <c r="N726" s="107" t="n">
        <v>14418246.02702703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2026-09-18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Processing</t>
        </is>
      </c>
      <c r="I727" s="105" t="inlineStr">
        <is>
          <t>Tolling</t>
        </is>
      </c>
      <c r="J727" s="105" t="inlineStr">
        <is>
          <t>SC DCS Re-clean Seed (Garvity)</t>
        </is>
      </c>
      <c r="K727" s="106" t="n">
        <v>46051</v>
      </c>
      <c r="L727" s="106" t="n">
        <v>46074</v>
      </c>
      <c r="M727" s="107" t="n">
        <v>9136</v>
      </c>
      <c r="N727" s="107" t="n">
        <v>13439138.30630631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2026-09-18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Processing</t>
        </is>
      </c>
      <c r="I728" s="105" t="inlineStr">
        <is>
          <t>Tolling</t>
        </is>
      </c>
      <c r="J728" s="105" t="n"/>
      <c r="K728" s="106" t="n">
        <v>46030</v>
      </c>
      <c r="L728" s="106" t="n">
        <v>46053</v>
      </c>
      <c r="M728" s="107" t="n">
        <v>125250</v>
      </c>
      <c r="N728" s="107" t="n">
        <v>192730412.1621621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2026-09-18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Processing</t>
        </is>
      </c>
      <c r="I729" s="105" t="inlineStr">
        <is>
          <t>Tolling</t>
        </is>
      </c>
      <c r="J729" s="105" t="n"/>
      <c r="K729" s="106" t="n">
        <v>46030</v>
      </c>
      <c r="L729" s="106" t="n">
        <v>46053</v>
      </c>
      <c r="M729" s="107" t="n">
        <v>0</v>
      </c>
      <c r="N729" s="107" t="n">
        <v>-625207.8378378749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2026-09-18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inlineStr">
        <is>
          <t>09/CR/PT.ASI/II/2026</t>
        </is>
      </c>
      <c r="K730" s="106" t="n">
        <v>46030</v>
      </c>
      <c r="L730" s="106" t="n">
        <v>46053</v>
      </c>
      <c r="M730" s="107" t="n">
        <v>0</v>
      </c>
      <c r="N730" s="107" t="n">
        <v>-34699336.5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2026-09-18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6" t="n">
        <v>46023</v>
      </c>
      <c r="L731" s="106" t="n">
        <v>46053</v>
      </c>
      <c r="M731" s="107" t="n">
        <v>2159128.336774195</v>
      </c>
      <c r="N731" s="107" t="n">
        <v>706474572.4351715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2026-09-18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46023</v>
      </c>
      <c r="L732" s="106" t="n">
        <v>46053</v>
      </c>
      <c r="M732" s="107" t="n">
        <v>4440541</v>
      </c>
      <c r="N732" s="107" t="n">
        <v>1151185173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2026-09-18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46023</v>
      </c>
      <c r="L733" s="106" t="n">
        <v>46053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2026-09-18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Processing</t>
        </is>
      </c>
      <c r="I734" s="105" t="inlineStr">
        <is>
          <t>Tolling</t>
        </is>
      </c>
      <c r="J734" s="105" t="n"/>
      <c r="K734" s="106" t="n">
        <v>46078</v>
      </c>
      <c r="L734" s="106" t="n">
        <v>46084</v>
      </c>
      <c r="M734" s="107" t="n">
        <v>323220</v>
      </c>
      <c r="N734" s="107" t="n">
        <v>1072481814.594595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2026-09-18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4515770</v>
      </c>
      <c r="N735" s="107" t="n">
        <v>1173979560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2026-09-18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4000000</v>
      </c>
      <c r="N736" s="107" t="n">
        <v>303000000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2026-09-18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4000000</v>
      </c>
      <c r="N737" s="107" t="n">
        <v>1276640000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2026-09-18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261171</v>
      </c>
      <c r="N738" s="107" t="n">
        <v>10551308.4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2026-09-18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6" t="n">
        <v>46054</v>
      </c>
      <c r="L739" s="106" t="n">
        <v>46081</v>
      </c>
      <c r="M739" s="107" t="n">
        <v>2978000</v>
      </c>
      <c r="N739" s="107" t="n">
        <v>1052723000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2026-09-18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6" t="n">
        <v>46054</v>
      </c>
      <c r="L740" s="106" t="n">
        <v>46081</v>
      </c>
      <c r="M740" s="107" t="n">
        <v>199853</v>
      </c>
      <c r="N740" s="107" t="n">
        <v>4574635.17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2026-09-18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6" t="n">
        <v>46054</v>
      </c>
      <c r="L741" s="106" t="n">
        <v>46081</v>
      </c>
      <c r="M741" s="107" t="n">
        <v>2270000</v>
      </c>
      <c r="N741" s="107" t="n">
        <v>802445000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2026-09-18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inlineStr">
        <is>
          <t>Excess MOQ Volume Jan-Feb 26 period from Other Company 10/CR/PT.ASI/III/2026</t>
        </is>
      </c>
      <c r="K742" s="106" t="n">
        <v>46023</v>
      </c>
      <c r="L742" s="106" t="n">
        <v>46081</v>
      </c>
      <c r="M742" s="107" t="n">
        <v>0</v>
      </c>
      <c r="N742" s="107" t="n">
        <v>-146143884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2026-09-18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Processing</t>
        </is>
      </c>
      <c r="I743" s="105" t="inlineStr">
        <is>
          <t>Tolling</t>
        </is>
      </c>
      <c r="J743" s="105" t="n"/>
      <c r="K743" s="106" t="n">
        <v>46066</v>
      </c>
      <c r="L743" s="106" t="n">
        <v>46087</v>
      </c>
      <c r="M743" s="107" t="n">
        <v>82151</v>
      </c>
      <c r="N743" s="107" t="n">
        <v>906820483.054054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2026-09-18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 xml:space="preserve">CRSE TRT PACK CO KG </t>
        </is>
      </c>
      <c r="K744" s="106" t="n">
        <v>46085</v>
      </c>
      <c r="L744" s="106" t="n">
        <v>46089</v>
      </c>
      <c r="M744" s="107" t="n">
        <v>291000</v>
      </c>
      <c r="N744" s="107" t="n">
        <v>963571783.7837837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2026-09-18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6" t="n">
        <v>46054</v>
      </c>
      <c r="L745" s="106" t="n">
        <v>46081</v>
      </c>
      <c r="M745" s="107" t="n">
        <v>510000</v>
      </c>
      <c r="N745" s="107" t="n">
        <v>206040000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2026-09-18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inlineStr">
        <is>
          <t>Office</t>
        </is>
      </c>
      <c r="K746" s="106" t="n">
        <v>46023</v>
      </c>
      <c r="L746" s="106" t="n">
        <v>46053</v>
      </c>
      <c r="M746" s="107" t="n">
        <v>0</v>
      </c>
      <c r="N746" s="107" t="n">
        <v>15006222.70870871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2026-09-18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inlineStr">
        <is>
          <t>Wetcob to DSS Pre-Basic</t>
        </is>
      </c>
      <c r="K747" s="106" t="n">
        <v>46077</v>
      </c>
      <c r="L747" s="106" t="n">
        <v>46077</v>
      </c>
      <c r="M747" s="107" t="n">
        <v>1487</v>
      </c>
      <c r="N747" s="107" t="n">
        <v>7339001.423423422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2026-09-18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11/CR/PT.ASI/III/2026</t>
        </is>
      </c>
      <c r="K748" s="106" t="n">
        <v>46077</v>
      </c>
      <c r="L748" s="106" t="n">
        <v>46077</v>
      </c>
      <c r="M748" s="107" t="n">
        <v>0</v>
      </c>
      <c r="N748" s="107" t="n">
        <v>-1494435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2026-09-18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46031</v>
      </c>
      <c r="L749" s="106" t="n">
        <v>46032</v>
      </c>
      <c r="M749" s="107" t="n">
        <v>0</v>
      </c>
      <c r="N749" s="107" t="n">
        <v>0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2026-09-18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Processing</t>
        </is>
      </c>
      <c r="I750" s="105" t="inlineStr">
        <is>
          <t>Tolling</t>
        </is>
      </c>
      <c r="J750" s="105" t="n"/>
      <c r="K750" s="106" t="n">
        <v>46083</v>
      </c>
      <c r="L750" s="106" t="n">
        <v>46088</v>
      </c>
      <c r="M750" s="107" t="n">
        <v>10615</v>
      </c>
      <c r="N750" s="107" t="n">
        <v>10903230.72072072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2026-09-18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inlineStr">
        <is>
          <t>12/CR/PT.ASI/III/2026</t>
        </is>
      </c>
      <c r="K751" s="106" t="n">
        <v>46083</v>
      </c>
      <c r="L751" s="106" t="n">
        <v>46088</v>
      </c>
      <c r="M751" s="107" t="n">
        <v>0</v>
      </c>
      <c r="N751" s="107" t="n">
        <v>-2218535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2026-09-18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46087</v>
      </c>
      <c r="L752" s="106" t="n">
        <v>46087</v>
      </c>
      <c r="M752" s="107" t="n">
        <v>71</v>
      </c>
      <c r="N752" s="107" t="n">
        <v>109252.3693693693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2026-09-18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inlineStr">
        <is>
          <t>13/CR/PT.ASI/III/2026</t>
        </is>
      </c>
      <c r="K753" s="106" t="n">
        <v>46087</v>
      </c>
      <c r="L753" s="106" t="n">
        <v>46087</v>
      </c>
      <c r="M753" s="107" t="n">
        <v>0</v>
      </c>
      <c r="N753" s="107" t="n">
        <v>-22223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2026-09-18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 xml:space="preserve">CRSE TRT PACK CO KG </t>
        </is>
      </c>
      <c r="K754" s="106" t="n">
        <v>46090</v>
      </c>
      <c r="L754" s="106" t="n">
        <v>46093</v>
      </c>
      <c r="M754" s="107" t="n">
        <v>123300</v>
      </c>
      <c r="N754" s="107" t="n">
        <v>411061094.5945945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2026-09-18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n"/>
      <c r="K755" s="106" t="n">
        <v>46088</v>
      </c>
      <c r="L755" s="106" t="n">
        <v>46095</v>
      </c>
      <c r="M755" s="107" t="n">
        <v>37485</v>
      </c>
      <c r="N755" s="107" t="n">
        <v>414439225.5405405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2026-09-18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inlineStr">
        <is>
          <t>revisi PO wording</t>
        </is>
      </c>
      <c r="K756" s="106" t="n">
        <v>46023</v>
      </c>
      <c r="L756" s="106" t="n">
        <v>46053</v>
      </c>
      <c r="M756" s="107" t="n">
        <v>0</v>
      </c>
      <c r="N756" s="107" t="n">
        <v>448796315.5787387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2026-09-18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inlineStr">
        <is>
          <t>revisi PO wording</t>
        </is>
      </c>
      <c r="K757" s="106" t="n">
        <v>46023</v>
      </c>
      <c r="L757" s="106" t="n">
        <v>46053</v>
      </c>
      <c r="M757" s="107" t="n">
        <v>0</v>
      </c>
      <c r="N757" s="107" t="n">
        <v>-7950152.099549549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2026-09-18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inlineStr">
        <is>
          <t>revisi PO wording</t>
        </is>
      </c>
      <c r="K758" s="106" t="n">
        <v>46023</v>
      </c>
      <c r="L758" s="106" t="n">
        <v>46053</v>
      </c>
      <c r="M758" s="107" t="n">
        <v>0</v>
      </c>
      <c r="N758" s="107" t="n">
        <v>399767.7096666668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2026-09-18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n"/>
      <c r="K759" s="106" t="n">
        <v>46054</v>
      </c>
      <c r="L759" s="106" t="n">
        <v>46081</v>
      </c>
      <c r="M759" s="107" t="n">
        <v>561909.25</v>
      </c>
      <c r="N759" s="107" t="n">
        <v>976018953.1254953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2026-09-18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Processing</t>
        </is>
      </c>
      <c r="I760" s="105" t="inlineStr">
        <is>
          <t>Tolling</t>
        </is>
      </c>
      <c r="J760" s="105" t="n"/>
      <c r="K760" s="106" t="n">
        <v>46054</v>
      </c>
      <c r="L760" s="106" t="n">
        <v>46081</v>
      </c>
      <c r="M760" s="107" t="n">
        <v>45065.5</v>
      </c>
      <c r="N760" s="107" t="n">
        <v>39138688.43774774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2026-09-18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Processing</t>
        </is>
      </c>
      <c r="I761" s="105" t="inlineStr">
        <is>
          <t>Tolling</t>
        </is>
      </c>
      <c r="J761" s="105" t="n"/>
      <c r="K761" s="106" t="n">
        <v>46054</v>
      </c>
      <c r="L761" s="106" t="n">
        <v>46081</v>
      </c>
      <c r="M761" s="107" t="n">
        <v>127</v>
      </c>
      <c r="N761" s="107" t="n">
        <v>330893.8433333333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2026-09-18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Processing</t>
        </is>
      </c>
      <c r="I762" s="105" t="inlineStr">
        <is>
          <t>Tolling</t>
        </is>
      </c>
      <c r="J762" s="105" t="inlineStr">
        <is>
          <t>Cleaning Seed</t>
        </is>
      </c>
      <c r="K762" s="106" t="n">
        <v>45975</v>
      </c>
      <c r="L762" s="106" t="n">
        <v>46080</v>
      </c>
      <c r="M762" s="107" t="n">
        <v>144200</v>
      </c>
      <c r="N762" s="107" t="n">
        <v>221890023.4234234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2026-09-18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0</v>
      </c>
      <c r="N763" s="107" t="n">
        <v>192258045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2026-09-18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6" t="n">
        <v>46082</v>
      </c>
      <c r="L764" s="106" t="n">
        <v>46112</v>
      </c>
      <c r="M764" s="107" t="n">
        <v>15077.37999999996</v>
      </c>
      <c r="N764" s="107" t="n">
        <v>16085354.11609196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2026-09-18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6" t="n">
        <v>46082</v>
      </c>
      <c r="L765" s="106" t="n">
        <v>46112</v>
      </c>
      <c r="M765" s="107" t="n">
        <v>0</v>
      </c>
      <c r="N765" s="107" t="n">
        <v>10000000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2026-09-18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6" t="n">
        <v>46082</v>
      </c>
      <c r="L766" s="106" t="n">
        <v>46112</v>
      </c>
      <c r="M766" s="107" t="n">
        <v>41</v>
      </c>
      <c r="N766" s="107" t="n">
        <v>451000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2026-09-18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46054</v>
      </c>
      <c r="L767" s="106" t="n">
        <v>46081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2026-09-18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inlineStr">
        <is>
          <t>CRSE DRY SHELL CO KG</t>
        </is>
      </c>
      <c r="K768" s="106" t="n">
        <v>46086</v>
      </c>
      <c r="L768" s="106" t="n">
        <v>46112</v>
      </c>
      <c r="M768" s="107" t="n">
        <v>133256</v>
      </c>
      <c r="N768" s="107" t="n">
        <v>493846735.9999999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2026-09-18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46094</v>
      </c>
      <c r="L769" s="106" t="n">
        <v>46109</v>
      </c>
      <c r="M769" s="107" t="n">
        <v>39858.5</v>
      </c>
      <c r="N769" s="107" t="n">
        <v>443107662.6711711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2026-09-18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6" t="n">
        <v>46082</v>
      </c>
      <c r="L770" s="106" t="n">
        <v>46112</v>
      </c>
      <c r="M770" s="107" t="n">
        <v>7000000</v>
      </c>
      <c r="N770" s="107" t="n">
        <v>1068248720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2026-09-18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354113.5</v>
      </c>
      <c r="N771" s="107" t="n">
        <v>105759537.91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2026-09-18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907985.5</v>
      </c>
      <c r="N772" s="107" t="n">
        <v>201899655.78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2026-09-18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45658</v>
      </c>
      <c r="L773" s="106" t="n">
        <v>46022</v>
      </c>
      <c r="M773" s="107" t="n">
        <v>1875679.8</v>
      </c>
      <c r="N773" s="107" t="n">
        <v>564279511.0320001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2026-09-18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45658</v>
      </c>
      <c r="L774" s="106" t="n">
        <v>46022</v>
      </c>
      <c r="M774" s="107" t="n">
        <v>146408</v>
      </c>
      <c r="N774" s="107" t="n">
        <v>45322060.48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2026-09-18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45658</v>
      </c>
      <c r="L775" s="106" t="n">
        <v>46022</v>
      </c>
      <c r="M775" s="107" t="n">
        <v>250226.2</v>
      </c>
      <c r="N775" s="107" t="n">
        <v>72005091.31200001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2026-09-18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46023</v>
      </c>
      <c r="L776" s="106" t="n">
        <v>46053</v>
      </c>
      <c r="M776" s="107" t="n">
        <v>256992.5</v>
      </c>
      <c r="N776" s="107" t="n">
        <v>57144852.3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2026-09-18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Processing</t>
        </is>
      </c>
      <c r="I777" s="105" t="inlineStr">
        <is>
          <t>Tolling</t>
        </is>
      </c>
      <c r="J777" s="105" t="n"/>
      <c r="K777" s="106" t="n">
        <v>46023</v>
      </c>
      <c r="L777" s="106" t="n">
        <v>46053</v>
      </c>
      <c r="M777" s="107" t="n">
        <v>17931.5</v>
      </c>
      <c r="N777" s="107" t="n">
        <v>5394512.46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2026-09-18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46054</v>
      </c>
      <c r="L778" s="106" t="n">
        <v>46081</v>
      </c>
      <c r="M778" s="107" t="n">
        <v>16338.5</v>
      </c>
      <c r="N778" s="107" t="n">
        <v>4701566.76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2026-09-18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Processing</t>
        </is>
      </c>
      <c r="I779" s="105" t="inlineStr">
        <is>
          <t>Tolling</t>
        </is>
      </c>
      <c r="J779" s="105" t="n"/>
      <c r="K779" s="106" t="n">
        <v>46054</v>
      </c>
      <c r="L779" s="106" t="n">
        <v>46081</v>
      </c>
      <c r="M779" s="107" t="n">
        <v>261554</v>
      </c>
      <c r="N779" s="107" t="n">
        <v>58159147.43999999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2026-09-18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inlineStr">
        <is>
          <t>14/CR/PT.ASI/IV/2026</t>
        </is>
      </c>
      <c r="K780" s="106" t="n">
        <v>45975</v>
      </c>
      <c r="L780" s="106" t="n">
        <v>46080</v>
      </c>
      <c r="M780" s="107" t="n">
        <v>0</v>
      </c>
      <c r="N780" s="107" t="n">
        <v>-45134600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2026-09-18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Processing</t>
        </is>
      </c>
      <c r="I781" s="105" t="inlineStr">
        <is>
          <t>Tolling</t>
        </is>
      </c>
      <c r="J781" s="105" t="n"/>
      <c r="K781" s="106" t="n">
        <v>46031</v>
      </c>
      <c r="L781" s="106" t="n">
        <v>46032</v>
      </c>
      <c r="M781" s="107" t="n">
        <v>387</v>
      </c>
      <c r="N781" s="107" t="n">
        <v>595502.3513513514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2026-09-18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inlineStr">
        <is>
          <t>15/CR/PT.ASI/IV2026</t>
        </is>
      </c>
      <c r="K782" s="106" t="n">
        <v>46031</v>
      </c>
      <c r="L782" s="106" t="n">
        <v>46032</v>
      </c>
      <c r="M782" s="107" t="n">
        <v>0</v>
      </c>
      <c r="N782" s="107" t="n">
        <v>-121131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2026-09-18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Processing</t>
        </is>
      </c>
      <c r="I783" s="105" t="inlineStr">
        <is>
          <t>Tolling</t>
        </is>
      </c>
      <c r="J783" s="105" t="n"/>
      <c r="K783" s="106" t="n">
        <v>46010</v>
      </c>
      <c r="L783" s="106" t="n">
        <v>46091</v>
      </c>
      <c r="M783" s="107" t="n">
        <v>188878</v>
      </c>
      <c r="N783" s="107" t="n">
        <v>290639000.3063063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2026-09-18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inlineStr">
        <is>
          <t>16/CR/PT.ASI/IV2026</t>
        </is>
      </c>
      <c r="K784" s="106" t="n">
        <v>46010</v>
      </c>
      <c r="L784" s="106" t="n">
        <v>46091</v>
      </c>
      <c r="M784" s="107" t="n">
        <v>0</v>
      </c>
      <c r="N784" s="107" t="n">
        <v>-59118814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2026-09-18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Processing</t>
        </is>
      </c>
      <c r="I785" s="105" t="inlineStr">
        <is>
          <t>Tolling</t>
        </is>
      </c>
      <c r="J785" s="105" t="n"/>
      <c r="K785" s="106" t="n">
        <v>46093</v>
      </c>
      <c r="L785" s="106" t="n">
        <v>46093</v>
      </c>
      <c r="M785" s="107" t="n">
        <v>1385</v>
      </c>
      <c r="N785" s="107" t="n">
        <v>2838414.009009009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2026-09-18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inlineStr">
        <is>
          <t>17/CR/PT.ASI/IV2026</t>
        </is>
      </c>
      <c r="K786" s="106" t="n">
        <v>46093</v>
      </c>
      <c r="L786" s="106" t="n">
        <v>46093</v>
      </c>
      <c r="M786" s="107" t="n">
        <v>0</v>
      </c>
      <c r="N786" s="107" t="n">
        <v>-577544.9999999999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2026-09-18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Processing</t>
        </is>
      </c>
      <c r="I787" s="105" t="inlineStr">
        <is>
          <t>Tolling</t>
        </is>
      </c>
      <c r="J787" s="105" t="n"/>
      <c r="K787" s="106" t="n">
        <v>46093</v>
      </c>
      <c r="L787" s="106" t="n">
        <v>46093</v>
      </c>
      <c r="M787" s="107" t="n">
        <v>682</v>
      </c>
      <c r="N787" s="107" t="n">
        <v>2033244.756756757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2026-09-18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inlineStr">
        <is>
          <t>18/CR/PT.ASI/IV2026</t>
        </is>
      </c>
      <c r="K788" s="106" t="n">
        <v>46093</v>
      </c>
      <c r="L788" s="106" t="n">
        <v>46093</v>
      </c>
      <c r="M788" s="107" t="n">
        <v>0</v>
      </c>
      <c r="N788" s="107" t="n">
        <v>-413974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2026-09-18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Processing</t>
        </is>
      </c>
      <c r="I789" s="105" t="inlineStr">
        <is>
          <t>Tolling</t>
        </is>
      </c>
      <c r="J789" s="105" t="n"/>
      <c r="K789" s="106" t="n">
        <v>46070</v>
      </c>
      <c r="L789" s="106" t="n">
        <v>46088</v>
      </c>
      <c r="M789" s="107" t="n">
        <v>4702</v>
      </c>
      <c r="N789" s="107" t="n">
        <v>7009029.945945945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2026-09-18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inlineStr">
        <is>
          <t>19/CR/PT.ASI/IV2026</t>
        </is>
      </c>
      <c r="K790" s="106" t="n">
        <v>46070</v>
      </c>
      <c r="L790" s="106" t="n">
        <v>46088</v>
      </c>
      <c r="M790" s="107" t="n">
        <v>0</v>
      </c>
      <c r="N790" s="107" t="n">
        <v>-1429408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2026-09-18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Processing</t>
        </is>
      </c>
      <c r="I791" s="105" t="inlineStr">
        <is>
          <t>Tolling</t>
        </is>
      </c>
      <c r="J791" s="105" t="n"/>
      <c r="K791" s="106" t="n">
        <v>46065</v>
      </c>
      <c r="L791" s="106" t="n">
        <v>46095</v>
      </c>
      <c r="M791" s="107" t="n">
        <v>851736</v>
      </c>
      <c r="N791" s="107" t="n">
        <v>874863318.054054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2026-09-18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inlineStr">
        <is>
          <t>20/CR/PT.ASI/IV2026</t>
        </is>
      </c>
      <c r="K792" s="106" t="n">
        <v>46065</v>
      </c>
      <c r="L792" s="106" t="n">
        <v>46095</v>
      </c>
      <c r="M792" s="107" t="n">
        <v>0</v>
      </c>
      <c r="N792" s="107" t="n">
        <v>-178012824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2026-09-18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inlineStr">
        <is>
          <t>CS</t>
        </is>
      </c>
      <c r="K793" s="106" t="n">
        <v>46082</v>
      </c>
      <c r="L793" s="106" t="n">
        <v>46112</v>
      </c>
      <c r="M793" s="107" t="n">
        <v>4000000</v>
      </c>
      <c r="N793" s="107" t="n">
        <v>1276640000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2026-09-18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inlineStr">
        <is>
          <t>Handling</t>
        </is>
      </c>
      <c r="K794" s="106" t="n">
        <v>46082</v>
      </c>
      <c r="L794" s="106" t="n">
        <v>46112</v>
      </c>
      <c r="M794" s="107" t="n">
        <v>1091177</v>
      </c>
      <c r="N794" s="107" t="n">
        <v>44083550.8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2026-09-18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6" t="n">
        <v>46082</v>
      </c>
      <c r="L795" s="106" t="n">
        <v>46112</v>
      </c>
      <c r="M795" s="107" t="n">
        <v>4406821</v>
      </c>
      <c r="N795" s="107" t="n">
        <v>1140968013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2026-09-18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6" t="n">
        <v>46082</v>
      </c>
      <c r="L796" s="106" t="n">
        <v>46112</v>
      </c>
      <c r="M796" s="107" t="n">
        <v>4000000</v>
      </c>
      <c r="N796" s="107" t="n">
        <v>303000000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2026-09-18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46111</v>
      </c>
      <c r="L797" s="106" t="n">
        <v>46114</v>
      </c>
      <c r="M797" s="107" t="n">
        <v>20095.5</v>
      </c>
      <c r="N797" s="107" t="n">
        <v>223540169.5135135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2026-09-18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21088</v>
      </c>
      <c r="N798" s="107" t="n">
        <v>50798883.2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2026-09-18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9352</v>
      </c>
      <c r="N799" s="107" t="n">
        <v>22528032.8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2026-09-18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n"/>
      <c r="K800" s="106" t="n">
        <v>45995</v>
      </c>
      <c r="L800" s="106" t="n">
        <v>45995</v>
      </c>
      <c r="M800" s="107" t="n">
        <v>720</v>
      </c>
      <c r="N800" s="107" t="n">
        <v>1138744.8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2026-09-18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45995</v>
      </c>
      <c r="L801" s="106" t="n">
        <v>45995</v>
      </c>
      <c r="M801" s="107" t="n">
        <v>80</v>
      </c>
      <c r="N801" s="107" t="n">
        <v>126527.2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2026-09-18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45995</v>
      </c>
      <c r="L802" s="106" t="n">
        <v>45995</v>
      </c>
      <c r="M802" s="107" t="n">
        <v>405</v>
      </c>
      <c r="N802" s="107" t="n">
        <v>640543.9500000001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2026-09-18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inlineStr">
        <is>
          <t>CRSE DRY SHELL CO KG</t>
        </is>
      </c>
      <c r="K803" s="106" t="n">
        <v>46113</v>
      </c>
      <c r="L803" s="106" t="n">
        <v>46121</v>
      </c>
      <c r="M803" s="107" t="n">
        <v>65553</v>
      </c>
      <c r="N803" s="107" t="n">
        <v>244870573.9459459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2026-09-18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Processing</t>
        </is>
      </c>
      <c r="I804" s="105" t="inlineStr">
        <is>
          <t>Tolling</t>
        </is>
      </c>
      <c r="J804" s="105" t="n"/>
      <c r="K804" s="106" t="n">
        <v>46114</v>
      </c>
      <c r="L804" s="106" t="n">
        <v>46123</v>
      </c>
      <c r="M804" s="107" t="n">
        <v>54115</v>
      </c>
      <c r="N804" s="107" t="n">
        <v>606433165.9459459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2026-09-18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Processing</t>
        </is>
      </c>
      <c r="I805" s="105" t="inlineStr">
        <is>
          <t>Tolling</t>
        </is>
      </c>
      <c r="J805" s="105" t="n"/>
      <c r="K805" s="106" t="n">
        <v>46098</v>
      </c>
      <c r="L805" s="106" t="n">
        <v>46098</v>
      </c>
      <c r="M805" s="107" t="n">
        <v>40</v>
      </c>
      <c r="N805" s="107" t="n">
        <v>63263.6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2026-09-18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Processing</t>
        </is>
      </c>
      <c r="I806" s="105" t="inlineStr">
        <is>
          <t>Tolling</t>
        </is>
      </c>
      <c r="J806" s="105" t="n"/>
      <c r="K806" s="106" t="n">
        <v>46098</v>
      </c>
      <c r="L806" s="106" t="n">
        <v>46098</v>
      </c>
      <c r="M806" s="107" t="n">
        <v>197220</v>
      </c>
      <c r="N806" s="107" t="n">
        <v>43208929.8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2026-09-18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931536</v>
      </c>
      <c r="N807" s="107" t="n">
        <v>75268108.8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2026-09-18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6" t="n">
        <v>46082</v>
      </c>
      <c r="L808" s="106" t="n">
        <v>46112</v>
      </c>
      <c r="M808" s="107" t="n">
        <v>2953000</v>
      </c>
      <c r="N808" s="107" t="n">
        <v>1043885500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2026-09-18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6" t="n">
        <v>46082</v>
      </c>
      <c r="L809" s="106" t="n">
        <v>46112</v>
      </c>
      <c r="M809" s="107" t="n">
        <v>164149</v>
      </c>
      <c r="N809" s="107" t="n">
        <v>3757370.61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2026-09-18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6" t="n">
        <v>46082</v>
      </c>
      <c r="L810" s="106" t="n">
        <v>46112</v>
      </c>
      <c r="M810" s="107" t="n">
        <v>2270000</v>
      </c>
      <c r="N810" s="107" t="n">
        <v>802445000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2026-09-18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46126</v>
      </c>
      <c r="L811" s="106" t="n">
        <v>46132</v>
      </c>
      <c r="M811" s="107" t="n">
        <v>13578</v>
      </c>
      <c r="N811" s="107" t="n">
        <v>152520206.1081081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2026-09-18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inlineStr">
        <is>
          <t>DCS to FG</t>
        </is>
      </c>
      <c r="K812" s="106" t="n">
        <v>46082</v>
      </c>
      <c r="L812" s="106" t="n">
        <v>46112</v>
      </c>
      <c r="M812" s="107" t="n">
        <v>365774.75</v>
      </c>
      <c r="N812" s="107" t="n">
        <v>635339405.028018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2026-09-18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46082</v>
      </c>
      <c r="L813" s="106" t="n">
        <v>46112</v>
      </c>
      <c r="M813" s="107" t="n">
        <v>6609.9</v>
      </c>
      <c r="N813" s="107" t="n">
        <v>17221852.087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2026-09-18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46082</v>
      </c>
      <c r="L814" s="106" t="n">
        <v>46112</v>
      </c>
      <c r="M814" s="107" t="n">
        <v>37081.8</v>
      </c>
      <c r="N814" s="107" t="n">
        <v>32204968.69913513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2026-09-18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46111</v>
      </c>
      <c r="L815" s="106" t="n">
        <v>46112</v>
      </c>
      <c r="M815" s="107" t="n">
        <v>6268</v>
      </c>
      <c r="N815" s="107" t="n">
        <v>6438195.963963964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2026-09-18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46113</v>
      </c>
      <c r="L816" s="106" t="n">
        <v>46123</v>
      </c>
      <c r="M816" s="107" t="n">
        <v>100370</v>
      </c>
      <c r="N816" s="107" t="n">
        <v>159078311.8918919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2026-09-18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46113</v>
      </c>
      <c r="L817" s="106" t="n">
        <v>46130</v>
      </c>
      <c r="M817" s="107" t="n">
        <v>81213</v>
      </c>
      <c r="N817" s="107" t="n">
        <v>85890429.8108108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2026-09-18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45901</v>
      </c>
      <c r="L818" s="106" t="n">
        <v>46108</v>
      </c>
      <c r="M818" s="107" t="n">
        <v>302584</v>
      </c>
      <c r="N818" s="107" t="n">
        <v>465605900.4684684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2026-09-18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Processing</t>
        </is>
      </c>
      <c r="I819" s="105" t="inlineStr">
        <is>
          <t>Tolling</t>
        </is>
      </c>
      <c r="J819" s="105" t="n"/>
      <c r="K819" s="106" t="n">
        <v>46073</v>
      </c>
      <c r="L819" s="106" t="n">
        <v>46112</v>
      </c>
      <c r="M819" s="107" t="n">
        <v>570056</v>
      </c>
      <c r="N819" s="107" t="n">
        <v>585534817.8738738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2026-09-18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Processing</t>
        </is>
      </c>
      <c r="I820" s="105" t="inlineStr">
        <is>
          <t>Tolling</t>
        </is>
      </c>
      <c r="J820" s="105" t="n"/>
      <c r="K820" s="106" t="n">
        <v>45895</v>
      </c>
      <c r="L820" s="106" t="n">
        <v>46112</v>
      </c>
      <c r="M820" s="107" t="n">
        <v>14794</v>
      </c>
      <c r="N820" s="107" t="n">
        <v>44584717.78378378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2026-09-18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Processing</t>
        </is>
      </c>
      <c r="I821" s="105" t="inlineStr">
        <is>
          <t>Tolling</t>
        </is>
      </c>
      <c r="J821" s="105" t="n"/>
      <c r="K821" s="106" t="n">
        <v>46108</v>
      </c>
      <c r="L821" s="106" t="n">
        <v>46108</v>
      </c>
      <c r="M821" s="107" t="n">
        <v>2596</v>
      </c>
      <c r="N821" s="107" t="n">
        <v>5378865.225225224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2026-09-18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6" t="n">
        <v>46082</v>
      </c>
      <c r="L822" s="106" t="n">
        <v>46112</v>
      </c>
      <c r="M822" s="107" t="n">
        <v>1253280</v>
      </c>
      <c r="N822" s="107" t="n">
        <v>406112131.2536937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2026-09-18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7000000</v>
      </c>
      <c r="N823" s="107" t="n">
        <v>1068248720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2026-09-18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0</v>
      </c>
      <c r="N824" s="107" t="n">
        <v>192258045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2026-09-18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6" t="n">
        <v>46113</v>
      </c>
      <c r="L825" s="106" t="n">
        <v>46142</v>
      </c>
      <c r="M825" s="107" t="n">
        <v>0</v>
      </c>
      <c r="N825" s="107" t="n">
        <v>10000000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2026-09-18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6" t="n">
        <v>46113</v>
      </c>
      <c r="L826" s="106" t="n">
        <v>46142</v>
      </c>
      <c r="M826" s="107" t="n">
        <v>19651.1</v>
      </c>
      <c r="N826" s="107" t="n">
        <v>20964842.84874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2026-09-18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6" t="n">
        <v>46113</v>
      </c>
      <c r="L827" s="106" t="n">
        <v>46142</v>
      </c>
      <c r="M827" s="107" t="n">
        <v>68</v>
      </c>
      <c r="N827" s="107" t="n">
        <v>748000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2026-09-18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Processing</t>
        </is>
      </c>
      <c r="I828" s="105" t="inlineStr">
        <is>
          <t>Tolling</t>
        </is>
      </c>
      <c r="J828" s="105" t="n"/>
      <c r="K828" s="106" t="n">
        <v>46126</v>
      </c>
      <c r="L828" s="106" t="n">
        <v>46135</v>
      </c>
      <c r="M828" s="107" t="n">
        <v>72779</v>
      </c>
      <c r="N828" s="107" t="n">
        <v>273578227.9999999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2026-09-18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Processing</t>
        </is>
      </c>
      <c r="I829" s="105" t="inlineStr">
        <is>
          <t>Tolling</t>
        </is>
      </c>
      <c r="J829" s="105" t="n"/>
      <c r="K829" s="106" t="n">
        <v>46135</v>
      </c>
      <c r="L829" s="106" t="n">
        <v>46135</v>
      </c>
      <c r="M829" s="107" t="n">
        <v>1394.5</v>
      </c>
      <c r="N829" s="107" t="n">
        <v>15727258.94144144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2026-09-18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6" t="n">
        <v>46082</v>
      </c>
      <c r="L830" s="106" t="n">
        <v>46112</v>
      </c>
      <c r="M830" s="107" t="n">
        <v>510000</v>
      </c>
      <c r="N830" s="107" t="n">
        <v>206040000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2026-09-18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6" t="n">
        <v>46113</v>
      </c>
      <c r="L831" s="106" t="n">
        <v>46142</v>
      </c>
      <c r="M831" s="107" t="n">
        <v>510000</v>
      </c>
      <c r="N831" s="107" t="n">
        <v>206040000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2026-09-18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46054</v>
      </c>
      <c r="L832" s="106" t="n">
        <v>46081</v>
      </c>
      <c r="M832" s="107" t="n">
        <v>1700837</v>
      </c>
      <c r="N832" s="107" t="n">
        <v>555591360.5599999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2026-09-18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inlineStr">
        <is>
          <t>CS</t>
        </is>
      </c>
      <c r="K833" s="106" t="n">
        <v>46113</v>
      </c>
      <c r="L833" s="106" t="n">
        <v>46142</v>
      </c>
      <c r="M833" s="107" t="n">
        <v>4000000</v>
      </c>
      <c r="N833" s="107" t="n">
        <v>1365520000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2026-09-18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inlineStr">
        <is>
          <t>Handling</t>
        </is>
      </c>
      <c r="K834" s="106" t="n">
        <v>46113</v>
      </c>
      <c r="L834" s="106" t="n">
        <v>46142</v>
      </c>
      <c r="M834" s="107" t="n">
        <v>1922349</v>
      </c>
      <c r="N834" s="107" t="n">
        <v>81546044.58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2026-09-18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6" t="n">
        <v>46113</v>
      </c>
      <c r="L835" s="106" t="n">
        <v>46142</v>
      </c>
      <c r="M835" s="107" t="n">
        <v>4380970</v>
      </c>
      <c r="N835" s="107" t="n">
        <v>1133135160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2026-09-18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6" t="n">
        <v>46113</v>
      </c>
      <c r="L836" s="106" t="n">
        <v>46142</v>
      </c>
      <c r="M836" s="107" t="n">
        <v>4000000</v>
      </c>
      <c r="N836" s="107" t="n">
        <v>303000000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2026-09-18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43762.5</v>
      </c>
      <c r="N837" s="107" t="n">
        <v>12593097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2026-09-18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46082</v>
      </c>
      <c r="L838" s="106" t="n">
        <v>46112</v>
      </c>
      <c r="M838" s="107" t="n">
        <v>147823.5</v>
      </c>
      <c r="N838" s="107" t="n">
        <v>32870033.46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2026-09-18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46082</v>
      </c>
      <c r="L839" s="106" t="n">
        <v>46112</v>
      </c>
      <c r="M839" s="107" t="n">
        <v>130227.5</v>
      </c>
      <c r="N839" s="107" t="n">
        <v>39177641.1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2026-09-18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46082</v>
      </c>
      <c r="L840" s="106" t="n">
        <v>46112</v>
      </c>
      <c r="M840" s="107" t="n">
        <v>104168.5</v>
      </c>
      <c r="N840" s="107" t="n">
        <v>32246400.86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2026-09-18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Processing</t>
        </is>
      </c>
      <c r="I841" s="105" t="inlineStr">
        <is>
          <t>Tolling</t>
        </is>
      </c>
      <c r="J841" s="105" t="n"/>
      <c r="K841" s="106" t="n">
        <v>46113</v>
      </c>
      <c r="L841" s="106" t="n">
        <v>46142</v>
      </c>
      <c r="M841" s="107" t="n">
        <v>551467</v>
      </c>
      <c r="N841" s="107" t="n">
        <v>122624202.12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2026-09-18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n"/>
      <c r="K842" s="106" t="n">
        <v>46113</v>
      </c>
      <c r="L842" s="106" t="n">
        <v>46142</v>
      </c>
      <c r="M842" s="107" t="n">
        <v>69530.5</v>
      </c>
      <c r="N842" s="107" t="n">
        <v>20917555.62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2026-09-18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46113</v>
      </c>
      <c r="L843" s="106" t="n">
        <v>46142</v>
      </c>
      <c r="M843" s="107" t="n">
        <v>78358.5</v>
      </c>
      <c r="N843" s="107" t="n">
        <v>24256657.26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2026-09-18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6" t="n">
        <v>46113</v>
      </c>
      <c r="L844" s="106" t="n">
        <v>46142</v>
      </c>
      <c r="M844" s="107" t="n">
        <v>187448</v>
      </c>
      <c r="N844" s="107" t="n">
        <v>16092410.8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2026-09-18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inlineStr">
        <is>
          <t xml:space="preserve">CRSE TRT PACK CO KG </t>
        </is>
      </c>
      <c r="K845" s="106" t="n">
        <v>46146</v>
      </c>
      <c r="L845" s="106" t="n">
        <v>46151</v>
      </c>
      <c r="M845" s="107" t="n">
        <v>180320</v>
      </c>
      <c r="N845" s="107" t="n">
        <v>619571397.4774773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2026-09-18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46148</v>
      </c>
      <c r="L846" s="106" t="n">
        <v>46148</v>
      </c>
      <c r="M846" s="107" t="n">
        <v>1295</v>
      </c>
      <c r="N846" s="107" t="n">
        <v>14832720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2026-09-18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46140</v>
      </c>
      <c r="L847" s="106" t="n">
        <v>46141</v>
      </c>
      <c r="M847" s="107" t="n">
        <v>14810</v>
      </c>
      <c r="N847" s="107" t="n">
        <v>56543779.45945946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2026-09-18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46082</v>
      </c>
      <c r="L848" s="106" t="n">
        <v>46112</v>
      </c>
      <c r="M848" s="107" t="n">
        <v>147</v>
      </c>
      <c r="N848" s="107" t="n">
        <v>893674.8856756757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2026-09-18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139.5</v>
      </c>
      <c r="N849" s="107" t="n">
        <v>848079.2282432433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2026-09-18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46113</v>
      </c>
      <c r="L850" s="106" t="n">
        <v>46142</v>
      </c>
      <c r="M850" s="107" t="n">
        <v>108745.75</v>
      </c>
      <c r="N850" s="107" t="n">
        <v>188887997.6114414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2026-09-18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46113</v>
      </c>
      <c r="L851" s="106" t="n">
        <v>46142</v>
      </c>
      <c r="M851" s="107" t="n">
        <v>9005.6</v>
      </c>
      <c r="N851" s="107" t="n">
        <v>23463760.59466666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2026-09-18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46113</v>
      </c>
      <c r="L852" s="106" t="n">
        <v>46142</v>
      </c>
      <c r="M852" s="107" t="n">
        <v>22475.9</v>
      </c>
      <c r="N852" s="107" t="n">
        <v>19519970.87479279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2026-09-18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46136</v>
      </c>
      <c r="L853" s="106" t="n">
        <v>46136</v>
      </c>
      <c r="M853" s="107" t="n">
        <v>4075</v>
      </c>
      <c r="N853" s="107" t="n">
        <v>9816267.5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2026-09-18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46133</v>
      </c>
      <c r="L854" s="106" t="n">
        <v>46134</v>
      </c>
      <c r="M854" s="107" t="n">
        <v>15460</v>
      </c>
      <c r="N854" s="107" t="n">
        <v>3387131.4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2026-09-18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3638</v>
      </c>
      <c r="N855" s="107" t="n">
        <v>5753824.42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2026-09-18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46133</v>
      </c>
      <c r="L856" s="106" t="n">
        <v>46133</v>
      </c>
      <c r="M856" s="107" t="n">
        <v>6853</v>
      </c>
      <c r="N856" s="107" t="n">
        <v>10838636.27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2026-09-18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46127</v>
      </c>
      <c r="L857" s="106" t="n">
        <v>46127</v>
      </c>
      <c r="M857" s="107" t="n">
        <v>13880</v>
      </c>
      <c r="N857" s="107" t="n">
        <v>21952469.2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2026-09-18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46134</v>
      </c>
      <c r="L858" s="106" t="n">
        <v>46134</v>
      </c>
      <c r="M858" s="107" t="n">
        <v>16465</v>
      </c>
      <c r="N858" s="107" t="n">
        <v>39662538.5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2026-09-18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46121</v>
      </c>
      <c r="L859" s="106" t="n">
        <v>46127</v>
      </c>
      <c r="M859" s="107" t="n">
        <v>67043</v>
      </c>
      <c r="N859" s="107" t="n">
        <v>161499882.7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2026-09-18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Processing</t>
        </is>
      </c>
      <c r="I860" s="105" t="inlineStr">
        <is>
          <t>Tolling</t>
        </is>
      </c>
      <c r="J860" s="105" t="n"/>
      <c r="K860" s="106" t="n">
        <v>46128</v>
      </c>
      <c r="L860" s="106" t="n">
        <v>46129</v>
      </c>
      <c r="M860" s="107" t="n">
        <v>19671</v>
      </c>
      <c r="N860" s="107" t="n">
        <v>47385471.9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2026-09-18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Processing</t>
        </is>
      </c>
      <c r="I861" s="105" t="inlineStr">
        <is>
          <t>Tolling</t>
        </is>
      </c>
      <c r="J861" s="105" t="n"/>
      <c r="K861" s="106" t="n">
        <v>46132</v>
      </c>
      <c r="L861" s="106" t="n">
        <v>46133</v>
      </c>
      <c r="M861" s="107" t="n">
        <v>28169</v>
      </c>
      <c r="N861" s="107" t="n">
        <v>67856304.10000001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2026-09-18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Processing</t>
        </is>
      </c>
      <c r="I862" s="105" t="inlineStr">
        <is>
          <t>Tolling</t>
        </is>
      </c>
      <c r="J862" s="105" t="n"/>
      <c r="K862" s="106" t="n">
        <v>46134</v>
      </c>
      <c r="L862" s="106" t="n">
        <v>46136</v>
      </c>
      <c r="M862" s="107" t="n">
        <v>21179</v>
      </c>
      <c r="N862" s="107" t="n">
        <v>51018093.1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2026-09-18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2632000</v>
      </c>
      <c r="N863" s="107" t="n">
        <v>930412000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2026-09-18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322093</v>
      </c>
      <c r="N864" s="107" t="n">
        <v>7372708.77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2026-09-18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6" t="n">
        <v>46113</v>
      </c>
      <c r="L865" s="106" t="n">
        <v>46142</v>
      </c>
      <c r="M865" s="107" t="n">
        <v>431</v>
      </c>
      <c r="N865" s="107" t="n">
        <v>234895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2026-09-18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6" t="n">
        <v>46113</v>
      </c>
      <c r="L866" s="106" t="n">
        <v>46142</v>
      </c>
      <c r="M866" s="107" t="n">
        <v>17</v>
      </c>
      <c r="N866" s="107" t="n">
        <v>55590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2026-09-18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6" t="n">
        <v>46113</v>
      </c>
      <c r="L867" s="106" t="n">
        <v>46142</v>
      </c>
      <c r="M867" s="107" t="n">
        <v>2270000</v>
      </c>
      <c r="N867" s="107" t="n">
        <v>802445000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2026-09-18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16177.44</v>
      </c>
      <c r="N868" s="107" t="n">
        <v>17258956.867296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2026-09-18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0</v>
      </c>
      <c r="N869" s="107" t="n">
        <v>10000000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2026-09-18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6" t="n">
        <v>46143</v>
      </c>
      <c r="L870" s="106" t="n">
        <v>46173</v>
      </c>
      <c r="M870" s="107" t="n">
        <v>44</v>
      </c>
      <c r="N870" s="107" t="n">
        <v>484000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2026-09-18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6" t="n">
        <v>46143</v>
      </c>
      <c r="L871" s="106" t="n">
        <v>46173</v>
      </c>
      <c r="M871" s="107" t="n">
        <v>0</v>
      </c>
      <c r="N871" s="107" t="n">
        <v>192258045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2026-09-18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6" t="n">
        <v>46143</v>
      </c>
      <c r="L872" s="106" t="n">
        <v>46173</v>
      </c>
      <c r="M872" s="107" t="n">
        <v>7000000</v>
      </c>
      <c r="N872" s="107" t="n">
        <v>1068248720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2026-09-18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inlineStr">
        <is>
          <t>NTB to DSS</t>
        </is>
      </c>
      <c r="K873" s="106" t="n">
        <v>46082</v>
      </c>
      <c r="L873" s="106" t="n">
        <v>46112</v>
      </c>
      <c r="M873" s="107" t="n">
        <v>9858.5</v>
      </c>
      <c r="N873" s="107" t="n">
        <v>102744034.7040541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2026-09-18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Processing</t>
        </is>
      </c>
      <c r="I874" s="105" t="inlineStr">
        <is>
          <t>Tolling</t>
        </is>
      </c>
      <c r="J874" s="105" t="inlineStr">
        <is>
          <t>NTB to DSS</t>
        </is>
      </c>
      <c r="K874" s="106" t="n">
        <v>46113</v>
      </c>
      <c r="L874" s="106" t="n">
        <v>46142</v>
      </c>
      <c r="M874" s="107" t="n">
        <v>14416.5</v>
      </c>
      <c r="N874" s="107" t="n">
        <v>150246931.7148649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2026-09-18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>revised qty</t>
        </is>
      </c>
      <c r="K875" s="106" t="n">
        <v>46113</v>
      </c>
      <c r="L875" s="106" t="n">
        <v>46123</v>
      </c>
      <c r="M875" s="107" t="n">
        <v>-1458.399999999994</v>
      </c>
      <c r="N875" s="107" t="n">
        <v>-2311445.751351342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2026-09-18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46153</v>
      </c>
      <c r="L876" s="106" t="n">
        <v>46159</v>
      </c>
      <c r="M876" s="107" t="n">
        <v>169940</v>
      </c>
      <c r="N876" s="107" t="n">
        <v>595587646.3063062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2026-09-18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inlineStr">
        <is>
          <t>21/CR/PT.ASI/VI/2026</t>
        </is>
      </c>
      <c r="K877" s="106" t="n">
        <v>46113</v>
      </c>
      <c r="L877" s="106" t="n">
        <v>46142</v>
      </c>
      <c r="M877" s="107" t="n">
        <v>-533000</v>
      </c>
      <c r="N877" s="107" t="n">
        <v>-188415500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2026-09-18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Processing</t>
        </is>
      </c>
      <c r="I878" s="105" t="inlineStr">
        <is>
          <t>Tolling</t>
        </is>
      </c>
      <c r="J878" s="105" t="inlineStr">
        <is>
          <t xml:space="preserve">CRSE TRT PACK CO KG </t>
        </is>
      </c>
      <c r="K878" s="106" t="n">
        <v>46160</v>
      </c>
      <c r="L878" s="106" t="n">
        <v>46167</v>
      </c>
      <c r="M878" s="107" t="n">
        <v>260460</v>
      </c>
      <c r="N878" s="107" t="n">
        <v>921784365.4054053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2026-09-18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46161</v>
      </c>
      <c r="L879" s="106" t="n">
        <v>46171</v>
      </c>
      <c r="M879" s="107" t="n">
        <v>3126</v>
      </c>
      <c r="N879" s="107" t="n">
        <v>36879083.56756756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2026-09-18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46167</v>
      </c>
      <c r="L880" s="106" t="n">
        <v>46167</v>
      </c>
      <c r="M880" s="107" t="n">
        <v>21520</v>
      </c>
      <c r="N880" s="107" t="n">
        <v>76160637.11711711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2026-09-18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510000</v>
      </c>
      <c r="N881" s="107" t="n">
        <v>206040000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2026-09-18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Processing</t>
        </is>
      </c>
      <c r="I882" s="105" t="inlineStr">
        <is>
          <t>Tolling</t>
        </is>
      </c>
      <c r="J882" s="105" t="n"/>
      <c r="K882" s="106" t="n">
        <v>45790</v>
      </c>
      <c r="L882" s="106" t="n">
        <v>46156</v>
      </c>
      <c r="M882" s="107" t="n">
        <v>968</v>
      </c>
      <c r="N882" s="107" t="n">
        <v>3806987.027027027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2026-09-18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Processing</t>
        </is>
      </c>
      <c r="I883" s="105" t="inlineStr">
        <is>
          <t>Tolling</t>
        </is>
      </c>
      <c r="J883" s="105" t="n"/>
      <c r="K883" s="106" t="n">
        <v>45790</v>
      </c>
      <c r="L883" s="106" t="n">
        <v>46156</v>
      </c>
      <c r="M883" s="107" t="n">
        <v>18684.51</v>
      </c>
      <c r="N883" s="107" t="n">
        <v>220431095.8762162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2026-09-18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2000000</v>
      </c>
      <c r="N884" s="107" t="n">
        <v>707000000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2026-09-18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6" t="n">
        <v>46143</v>
      </c>
      <c r="L885" s="106" t="n">
        <v>46173</v>
      </c>
      <c r="M885" s="107" t="n">
        <v>339595</v>
      </c>
      <c r="N885" s="107" t="n">
        <v>7773329.55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2026-09-18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6" t="n">
        <v>46143</v>
      </c>
      <c r="L886" s="106" t="n">
        <v>46173</v>
      </c>
      <c r="M886" s="107" t="n">
        <v>2279</v>
      </c>
      <c r="N886" s="107" t="n">
        <v>1242055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2026-09-18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6" t="n">
        <v>46143</v>
      </c>
      <c r="L887" s="106" t="n">
        <v>46173</v>
      </c>
      <c r="M887" s="107" t="n">
        <v>2270000</v>
      </c>
      <c r="N887" s="107" t="n">
        <v>802445000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2026-09-18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inlineStr">
        <is>
          <t>Office</t>
        </is>
      </c>
      <c r="K888" s="106" t="n">
        <v>46082</v>
      </c>
      <c r="L888" s="106" t="n">
        <v>46173</v>
      </c>
      <c r="M888" s="107" t="n">
        <v>3</v>
      </c>
      <c r="N888" s="107" t="n">
        <v>22509333.69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2026-09-18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46031</v>
      </c>
      <c r="L889" s="106" t="n">
        <v>46164</v>
      </c>
      <c r="M889" s="107" t="n">
        <v>36476</v>
      </c>
      <c r="N889" s="107" t="n">
        <v>57809353.36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2026-09-18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46132</v>
      </c>
      <c r="L890" s="106" t="n">
        <v>46163</v>
      </c>
      <c r="M890" s="107" t="n">
        <v>59115</v>
      </c>
      <c r="N890" s="107" t="n">
        <v>62502289.5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2026-09-18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Processing</t>
        </is>
      </c>
      <c r="I891" s="105" t="inlineStr">
        <is>
          <t>Tolling</t>
        </is>
      </c>
      <c r="J891" s="105" t="n"/>
      <c r="K891" s="106" t="n">
        <v>46143</v>
      </c>
      <c r="L891" s="106" t="n">
        <v>46173</v>
      </c>
      <c r="M891" s="107" t="n">
        <v>24922</v>
      </c>
      <c r="N891" s="107" t="n">
        <v>259733918.2324325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2026-09-18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Processing</t>
        </is>
      </c>
      <c r="I892" s="105" t="inlineStr">
        <is>
          <t>Tolling</t>
        </is>
      </c>
      <c r="J892" s="105" t="n"/>
      <c r="K892" s="106" t="n">
        <v>46143</v>
      </c>
      <c r="L892" s="106" t="n">
        <v>46173</v>
      </c>
      <c r="M892" s="107" t="n">
        <v>10426.1</v>
      </c>
      <c r="N892" s="107" t="n">
        <v>27164821.25966666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2026-09-18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23822.9</v>
      </c>
      <c r="N893" s="107" t="n">
        <v>20689819.50236036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2026-09-18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6" t="n">
        <v>46113</v>
      </c>
      <c r="L894" s="106" t="n">
        <v>46142</v>
      </c>
      <c r="M894" s="107" t="n">
        <v>1015694.22718663</v>
      </c>
      <c r="N894" s="107" t="n">
        <v>331784297.1491893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2026-09-18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6" t="n">
        <v>46143</v>
      </c>
      <c r="L895" s="106" t="n">
        <v>46173</v>
      </c>
      <c r="M895" s="107" t="n">
        <v>963452.6512200555</v>
      </c>
      <c r="N895" s="107" t="n">
        <v>314719186.3116035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2026-09-18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46143</v>
      </c>
      <c r="L896" s="106" t="n">
        <v>46173</v>
      </c>
      <c r="M896" s="107" t="n">
        <v>88.5</v>
      </c>
      <c r="N896" s="107" t="n">
        <v>538028.7577027027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2026-09-18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inlineStr">
        <is>
          <t>Handling</t>
        </is>
      </c>
      <c r="K897" s="106" t="n">
        <v>46143</v>
      </c>
      <c r="L897" s="106" t="n">
        <v>46173</v>
      </c>
      <c r="M897" s="107" t="n">
        <v>1124677</v>
      </c>
      <c r="N897" s="107" t="n">
        <v>47708798.34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2026-09-18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inlineStr">
        <is>
          <t>CS</t>
        </is>
      </c>
      <c r="K898" s="106" t="n">
        <v>46143</v>
      </c>
      <c r="L898" s="106" t="n">
        <v>46173</v>
      </c>
      <c r="M898" s="107" t="n">
        <v>4000000</v>
      </c>
      <c r="N898" s="107" t="n">
        <v>1365520000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2026-09-18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46161</v>
      </c>
      <c r="L899" s="106" t="n">
        <v>46162</v>
      </c>
      <c r="M899" s="107" t="n">
        <v>15145</v>
      </c>
      <c r="N899" s="107" t="n">
        <v>36482790.5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2026-09-18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46167</v>
      </c>
      <c r="L900" s="106" t="n">
        <v>46168</v>
      </c>
      <c r="M900" s="107" t="n">
        <v>30860</v>
      </c>
      <c r="N900" s="107" t="n">
        <v>74338654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2026-09-18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46163</v>
      </c>
      <c r="L901" s="106" t="n">
        <v>46167</v>
      </c>
      <c r="M901" s="107" t="n">
        <v>89160</v>
      </c>
      <c r="N901" s="107" t="n">
        <v>214777524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2026-09-18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45937</v>
      </c>
      <c r="L902" s="106" t="n">
        <v>46107</v>
      </c>
      <c r="M902" s="107" t="n">
        <v>269313</v>
      </c>
      <c r="N902" s="107" t="n">
        <v>414494252.04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2026-09-18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46139</v>
      </c>
      <c r="L903" s="106" t="n">
        <v>46163</v>
      </c>
      <c r="M903" s="107" t="n">
        <v>87758</v>
      </c>
      <c r="N903" s="107" t="n">
        <v>139084143.88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2026-09-18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46112</v>
      </c>
      <c r="L904" s="106" t="n">
        <v>46130</v>
      </c>
      <c r="M904" s="107" t="n">
        <v>2465</v>
      </c>
      <c r="N904" s="107" t="n">
        <v>7912773.25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2026-09-18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46129</v>
      </c>
      <c r="L905" s="106" t="n">
        <v>46164</v>
      </c>
      <c r="M905" s="107" t="n">
        <v>497797</v>
      </c>
      <c r="N905" s="107" t="n">
        <v>526320768.1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2026-09-18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Processing</t>
        </is>
      </c>
      <c r="I906" s="105" t="inlineStr">
        <is>
          <t>Tolling</t>
        </is>
      </c>
      <c r="J906" s="105" t="n"/>
      <c r="K906" s="106" t="n">
        <v>46140</v>
      </c>
      <c r="L906" s="106" t="n">
        <v>46140</v>
      </c>
      <c r="M906" s="107" t="n">
        <v>5543</v>
      </c>
      <c r="N906" s="107" t="n">
        <v>12228744.88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2026-09-18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Processing</t>
        </is>
      </c>
      <c r="I907" s="105" t="inlineStr">
        <is>
          <t>Tolling</t>
        </is>
      </c>
      <c r="J907" s="105" t="n"/>
      <c r="K907" s="106" t="n">
        <v>46134</v>
      </c>
      <c r="L907" s="106" t="n">
        <v>46158</v>
      </c>
      <c r="M907" s="107" t="n">
        <v>14165</v>
      </c>
      <c r="N907" s="107" t="n">
        <v>7488327.25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2026-09-18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Processing</t>
        </is>
      </c>
      <c r="I908" s="105" t="inlineStr">
        <is>
          <t>Tolling</t>
        </is>
      </c>
      <c r="J908" s="105" t="n"/>
      <c r="K908" s="106" t="n">
        <v>46133</v>
      </c>
      <c r="L908" s="106" t="n">
        <v>46140</v>
      </c>
      <c r="M908" s="107" t="n">
        <v>21257</v>
      </c>
      <c r="N908" s="107" t="n">
        <v>5491320.810000001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2026-09-18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6" t="n">
        <v>46143</v>
      </c>
      <c r="L909" s="106" t="n">
        <v>46173</v>
      </c>
      <c r="M909" s="107" t="n">
        <v>4380970</v>
      </c>
      <c r="N909" s="107" t="n">
        <v>1105158867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2026-09-18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inlineStr">
        <is>
          <t>zero material</t>
        </is>
      </c>
      <c r="K910" s="106" t="n">
        <v>46143</v>
      </c>
      <c r="L910" s="106" t="n">
        <v>46173</v>
      </c>
      <c r="M910" s="107" t="n">
        <v>3600000</v>
      </c>
      <c r="N910" s="107" t="n">
        <v>272700000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2026-09-18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6" t="n">
        <v>46143</v>
      </c>
      <c r="L911" s="106" t="n">
        <v>46173</v>
      </c>
      <c r="M911" s="107" t="n">
        <v>184803</v>
      </c>
      <c r="N911" s="107" t="n">
        <v>15492035.49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2026-09-18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>06/CR/PT.ASI/II/2026, 10/CR/PT.ASI/III/2026</t>
        </is>
      </c>
      <c r="K912" s="106" t="n">
        <v>46032</v>
      </c>
      <c r="L912" s="106" t="n">
        <v>46069</v>
      </c>
      <c r="M912" s="107" t="n">
        <v>0</v>
      </c>
      <c r="N912" s="107" t="n">
        <v>4579260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2026-09-18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 xml:space="preserve"> 07/CR/PT.ASI/II/2026</t>
        </is>
      </c>
      <c r="K913" s="106" t="n">
        <v>46059</v>
      </c>
      <c r="L913" s="106" t="n">
        <v>46065</v>
      </c>
      <c r="M913" s="107" t="n">
        <v>0</v>
      </c>
      <c r="N913" s="107" t="n">
        <v>847899.4234234095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2026-09-18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08/CR/PT.ASI/II/2026</t>
        </is>
      </c>
      <c r="K914" s="106" t="n">
        <v>46045</v>
      </c>
      <c r="L914" s="106" t="n">
        <v>46072</v>
      </c>
      <c r="M914" s="107" t="n">
        <v>0</v>
      </c>
      <c r="N914" s="107" t="n">
        <v>900424.7567567825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2026-09-18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 xml:space="preserve"> 09/CR/PT.ASI/II/2026</t>
        </is>
      </c>
      <c r="K915" s="106" t="n">
        <v>46030</v>
      </c>
      <c r="L915" s="106" t="n">
        <v>46053</v>
      </c>
      <c r="M915" s="107" t="n">
        <v>0</v>
      </c>
      <c r="N915" s="107" t="n">
        <v>625207.8378378749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2026-09-18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03/CR/PT.ASI/I/2026</t>
        </is>
      </c>
      <c r="K916" s="106" t="n">
        <v>45985</v>
      </c>
      <c r="L916" s="106" t="n">
        <v>46015</v>
      </c>
      <c r="M916" s="107" t="n">
        <v>0</v>
      </c>
      <c r="N916" s="107" t="n">
        <v>18578.91891891892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2026-09-18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11/CR/PT.ASI/III/2026</t>
        </is>
      </c>
      <c r="K917" s="106" t="n">
        <v>46077</v>
      </c>
      <c r="L917" s="106" t="n">
        <v>46077</v>
      </c>
      <c r="M917" s="107" t="n">
        <v>0</v>
      </c>
      <c r="N917" s="107" t="n">
        <v>26926.75675675675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2026-09-18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12/CR/PT.ASI/III/2026</t>
        </is>
      </c>
      <c r="K918" s="106" t="n">
        <v>46083</v>
      </c>
      <c r="L918" s="106" t="n">
        <v>46088</v>
      </c>
      <c r="M918" s="107" t="n">
        <v>0</v>
      </c>
      <c r="N918" s="107" t="n">
        <v>39973.6036036036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2026-09-18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13/CR/PT.ASI/III/2026</t>
        </is>
      </c>
      <c r="K919" s="106" t="n">
        <v>46087</v>
      </c>
      <c r="L919" s="106" t="n">
        <v>46087</v>
      </c>
      <c r="M919" s="107" t="n">
        <v>0</v>
      </c>
      <c r="N919" s="107" t="n">
        <v>400.4144144144144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2026-09-18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14/CR/PT.ASI/IV/2026</t>
        </is>
      </c>
      <c r="K920" s="106" t="n">
        <v>45975</v>
      </c>
      <c r="L920" s="106" t="n">
        <v>46080</v>
      </c>
      <c r="M920" s="107" t="n">
        <v>144200</v>
      </c>
      <c r="N920" s="107" t="n">
        <v>813236.036036036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2026-09-18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15/CR/PT.ASI/IV2026</t>
        </is>
      </c>
      <c r="K921" s="106" t="n">
        <v>46031</v>
      </c>
      <c r="L921" s="106" t="n">
        <v>46032</v>
      </c>
      <c r="M921" s="107" t="n">
        <v>0</v>
      </c>
      <c r="N921" s="107" t="n">
        <v>2182.54054054054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2026-09-18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16/CR/PT.ASI/IV2026</t>
        </is>
      </c>
      <c r="K922" s="106" t="n">
        <v>46010</v>
      </c>
      <c r="L922" s="106" t="n">
        <v>46091</v>
      </c>
      <c r="M922" s="107" t="n">
        <v>0</v>
      </c>
      <c r="N922" s="107" t="n">
        <v>1065203.855855856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2026-09-18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17/CR/PT.ASI/IV2026</t>
        </is>
      </c>
      <c r="K923" s="106" t="n">
        <v>46093</v>
      </c>
      <c r="L923" s="106" t="n">
        <v>46093</v>
      </c>
      <c r="M923" s="107" t="n">
        <v>0</v>
      </c>
      <c r="N923" s="107" t="n">
        <v>10406.21621621621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2026-09-18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inlineStr">
        <is>
          <t>18/CR/PT.ASI/IV2026</t>
        </is>
      </c>
      <c r="K924" s="106" t="n">
        <v>46093</v>
      </c>
      <c r="L924" s="106" t="n">
        <v>46093</v>
      </c>
      <c r="M924" s="107" t="n">
        <v>0</v>
      </c>
      <c r="N924" s="107" t="n">
        <v>7458.990990990991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2026-09-18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inlineStr">
        <is>
          <t>19/CR/PT.ASI/IV2026</t>
        </is>
      </c>
      <c r="K925" s="106" t="n">
        <v>46070</v>
      </c>
      <c r="L925" s="106" t="n">
        <v>46088</v>
      </c>
      <c r="M925" s="107" t="n">
        <v>0</v>
      </c>
      <c r="N925" s="107" t="n">
        <v>25755.0990990991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2026-09-18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inlineStr">
        <is>
          <t>20/CR/PT.ASI/IV2026</t>
        </is>
      </c>
      <c r="K926" s="106" t="n">
        <v>46065</v>
      </c>
      <c r="L926" s="106" t="n">
        <v>46095</v>
      </c>
      <c r="M926" s="107" t="n">
        <v>0</v>
      </c>
      <c r="N926" s="107" t="n">
        <v>3207438.27027027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2026-09-18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Processing</t>
        </is>
      </c>
      <c r="I927" s="105" t="inlineStr">
        <is>
          <t>Tolling</t>
        </is>
      </c>
      <c r="J927" s="105" t="n"/>
      <c r="K927" s="106" t="n">
        <v>46184</v>
      </c>
      <c r="L927" s="106" t="n">
        <v>46185</v>
      </c>
      <c r="M927" s="107" t="n">
        <v>30.72</v>
      </c>
      <c r="N927" s="107" t="n">
        <v>360730.411008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2026-09-18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Processing</t>
        </is>
      </c>
      <c r="I928" s="105" t="inlineStr">
        <is>
          <t>Tolling</t>
        </is>
      </c>
      <c r="J928" s="105" t="n"/>
      <c r="K928" s="106" t="n">
        <v>46178</v>
      </c>
      <c r="L928" s="106" t="n">
        <v>46192</v>
      </c>
      <c r="M928" s="107" t="n">
        <v>23373</v>
      </c>
      <c r="N928" s="107" t="n">
        <v>91486133.35135135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2026-09-18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6" t="n">
        <v>46023</v>
      </c>
      <c r="L929" s="106" t="n">
        <v>46203</v>
      </c>
      <c r="M929" s="107" t="n">
        <v>6</v>
      </c>
      <c r="N929" s="107" t="n">
        <v>40874700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2026-09-18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6" t="n">
        <v>46174</v>
      </c>
      <c r="L930" s="106" t="n">
        <v>46203</v>
      </c>
      <c r="M930" s="107" t="n">
        <v>0</v>
      </c>
      <c r="N930" s="107" t="n">
        <v>10000000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2026-09-18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0</v>
      </c>
      <c r="N931" s="107" t="n">
        <v>192258045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2026-09-18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Processing</t>
        </is>
      </c>
      <c r="I932" s="105" t="inlineStr">
        <is>
          <t>Tolling</t>
        </is>
      </c>
      <c r="J932" s="105" t="n"/>
      <c r="K932" s="106" t="n">
        <v>46143</v>
      </c>
      <c r="L932" s="106" t="n">
        <v>46173</v>
      </c>
      <c r="M932" s="107" t="n">
        <v>220268</v>
      </c>
      <c r="N932" s="107" t="n">
        <v>68186162.08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2026-09-18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571128</v>
      </c>
      <c r="N933" s="107" t="n">
        <v>171818147.52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2026-09-18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6" t="n">
        <v>46174</v>
      </c>
      <c r="L934" s="106" t="n">
        <v>46203</v>
      </c>
      <c r="M934" s="107" t="n">
        <v>52</v>
      </c>
      <c r="N934" s="107" t="n">
        <v>572000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2026-09-18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6" t="n">
        <v>46174</v>
      </c>
      <c r="L935" s="106" t="n">
        <v>46203</v>
      </c>
      <c r="M935" s="107" t="n">
        <v>17559.2</v>
      </c>
      <c r="N935" s="107" t="n">
        <v>18733092.22128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2026-09-18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46143</v>
      </c>
      <c r="L936" s="106" t="n">
        <v>46173</v>
      </c>
      <c r="M936" s="107" t="n">
        <v>927397</v>
      </c>
      <c r="N936" s="107" t="n">
        <v>1610860303.3915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2026-09-18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46143</v>
      </c>
      <c r="L937" s="106" t="n">
        <v>46173</v>
      </c>
      <c r="M937" s="107" t="n">
        <v>17361</v>
      </c>
      <c r="N937" s="107" t="n">
        <v>4995801.36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2026-09-18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269170</v>
      </c>
      <c r="N938" s="107" t="n">
        <v>59852641.19999999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2026-09-18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335904.5</v>
      </c>
      <c r="N939" s="107" t="n">
        <v>101053509.78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2026-09-18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8611.049999999999</v>
      </c>
      <c r="N940" s="107" t="n">
        <v>52350193.896525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2026-09-18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152832.75</v>
      </c>
      <c r="N941" s="107" t="n">
        <v>265465825.351125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2026-09-18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Processing</t>
        </is>
      </c>
      <c r="I942" s="105" t="inlineStr">
        <is>
          <t>Tolling</t>
        </is>
      </c>
      <c r="J942" s="105" t="n"/>
      <c r="K942" s="106" t="n">
        <v>46174</v>
      </c>
      <c r="L942" s="106" t="n">
        <v>46203</v>
      </c>
      <c r="M942" s="107" t="n">
        <v>27332.05</v>
      </c>
      <c r="N942" s="107" t="n">
        <v>284851112.931575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2026-09-18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Processing</t>
        </is>
      </c>
      <c r="I943" s="105" t="inlineStr">
        <is>
          <t>Tolling</t>
        </is>
      </c>
      <c r="J943" s="105" t="n"/>
      <c r="K943" s="106" t="n">
        <v>46174</v>
      </c>
      <c r="L943" s="106" t="n">
        <v>46203</v>
      </c>
      <c r="M943" s="107" t="n">
        <v>1712.1</v>
      </c>
      <c r="N943" s="107" t="n">
        <v>4460807.55237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2026-09-18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Processing</t>
        </is>
      </c>
      <c r="I944" s="105" t="inlineStr">
        <is>
          <t>Tolling</t>
        </is>
      </c>
      <c r="J944" s="105" t="n"/>
      <c r="K944" s="106" t="n">
        <v>46174</v>
      </c>
      <c r="L944" s="106" t="n">
        <v>46203</v>
      </c>
      <c r="M944" s="107" t="n">
        <v>20116.95</v>
      </c>
      <c r="N944" s="107" t="n">
        <v>17471154.654135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2026-09-18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1186489.84</v>
      </c>
      <c r="N945" s="107" t="n">
        <v>387571889.4933281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2026-09-18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6" t="n">
        <v>46174</v>
      </c>
      <c r="L946" s="106" t="n">
        <v>46203</v>
      </c>
      <c r="M946" s="107" t="n">
        <v>5200000</v>
      </c>
      <c r="N946" s="107" t="n">
        <v>872911811.2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2026-09-18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CS</t>
        </is>
      </c>
      <c r="K947" s="106" t="n">
        <v>46174</v>
      </c>
      <c r="L947" s="106" t="n">
        <v>46203</v>
      </c>
      <c r="M947" s="107" t="n">
        <v>4000000</v>
      </c>
      <c r="N947" s="107" t="n">
        <v>1365520000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2026-09-18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6" t="n">
        <v>46174</v>
      </c>
      <c r="L948" s="106" t="n">
        <v>46203</v>
      </c>
      <c r="M948" s="107" t="n">
        <v>4177832</v>
      </c>
      <c r="N948" s="107" t="n">
        <v>1071584346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2026-09-18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inlineStr">
        <is>
          <t>zero material</t>
        </is>
      </c>
      <c r="K949" s="106" t="n">
        <v>46174</v>
      </c>
      <c r="L949" s="106" t="n">
        <v>46203</v>
      </c>
      <c r="M949" s="107" t="n">
        <v>3600000</v>
      </c>
      <c r="N949" s="107" t="n">
        <v>272700000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2026-09-18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inlineStr">
        <is>
          <t>Handling</t>
        </is>
      </c>
      <c r="K950" s="106" t="n">
        <v>46174</v>
      </c>
      <c r="L950" s="106" t="n">
        <v>46203</v>
      </c>
      <c r="M950" s="107" t="n">
        <v>607742</v>
      </c>
      <c r="N950" s="107" t="n">
        <v>25780415.64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2026-09-18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46178</v>
      </c>
      <c r="L951" s="106" t="n">
        <v>46178</v>
      </c>
      <c r="M951" s="107" t="n">
        <v>120</v>
      </c>
      <c r="N951" s="107" t="n">
        <v>289068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2026-09-18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2026-09-18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46171</v>
      </c>
      <c r="L953" s="106" t="n">
        <v>46171</v>
      </c>
      <c r="M953" s="107" t="n">
        <v>112</v>
      </c>
      <c r="N953" s="107" t="n">
        <v>269796.8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2026-09-18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46171</v>
      </c>
      <c r="L954" s="106" t="n">
        <v>46171</v>
      </c>
      <c r="M954" s="107" t="n">
        <v>112</v>
      </c>
      <c r="N954" s="107" t="n">
        <v>269796.8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2026-09-18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46171</v>
      </c>
      <c r="L955" s="106" t="n">
        <v>46171</v>
      </c>
      <c r="M955" s="107" t="n">
        <v>112</v>
      </c>
      <c r="N955" s="107" t="n">
        <v>269796.8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2026-09-18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46184</v>
      </c>
      <c r="L956" s="106" t="n">
        <v>46184</v>
      </c>
      <c r="M956" s="107" t="n">
        <v>75</v>
      </c>
      <c r="N956" s="107" t="n">
        <v>180667.5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2026-09-18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46184</v>
      </c>
      <c r="L957" s="106" t="n">
        <v>46184</v>
      </c>
      <c r="M957" s="107" t="n">
        <v>75</v>
      </c>
      <c r="N957" s="107" t="n">
        <v>180667.5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2026-09-18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46184</v>
      </c>
      <c r="L958" s="106" t="n">
        <v>46184</v>
      </c>
      <c r="M958" s="107" t="n">
        <v>75</v>
      </c>
      <c r="N958" s="107" t="n">
        <v>180667.5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2026-09-18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46182</v>
      </c>
      <c r="L959" s="106" t="n">
        <v>46182</v>
      </c>
      <c r="M959" s="107" t="n">
        <v>500</v>
      </c>
      <c r="N959" s="107" t="n">
        <v>790795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2026-09-18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46182</v>
      </c>
      <c r="L960" s="106" t="n">
        <v>46182</v>
      </c>
      <c r="M960" s="107" t="n">
        <v>150</v>
      </c>
      <c r="N960" s="107" t="n">
        <v>237238.5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2026-09-18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46197</v>
      </c>
      <c r="L961" s="106" t="n">
        <v>46198</v>
      </c>
      <c r="M961" s="107" t="n">
        <v>36550</v>
      </c>
      <c r="N961" s="107" t="n">
        <v>88045295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2026-09-18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10475</v>
      </c>
      <c r="N962" s="107" t="n">
        <v>25233227.5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2026-09-18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46199</v>
      </c>
      <c r="L963" s="106" t="n">
        <v>46200</v>
      </c>
      <c r="M963" s="107" t="n">
        <v>24519</v>
      </c>
      <c r="N963" s="107" t="n">
        <v>59063819.1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2026-09-18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46203</v>
      </c>
      <c r="L964" s="106" t="n">
        <v>46203</v>
      </c>
      <c r="M964" s="107" t="n">
        <v>1058</v>
      </c>
      <c r="N964" s="107" t="n">
        <v>2548616.2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2026-09-18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46203</v>
      </c>
      <c r="L965" s="106" t="n">
        <v>46203</v>
      </c>
      <c r="M965" s="107" t="n">
        <v>1058</v>
      </c>
      <c r="N965" s="107" t="n">
        <v>2548616.2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2026-09-18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46202</v>
      </c>
      <c r="L966" s="106" t="n">
        <v>46202</v>
      </c>
      <c r="M966" s="107" t="n">
        <v>135</v>
      </c>
      <c r="N966" s="107" t="n">
        <v>213514.65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2026-09-18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46197</v>
      </c>
      <c r="L967" s="106" t="n">
        <v>46203</v>
      </c>
      <c r="M967" s="107" t="n">
        <v>37939</v>
      </c>
      <c r="N967" s="107" t="n">
        <v>536105249.4995999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2026-09-18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46200</v>
      </c>
      <c r="L968" s="106" t="n">
        <v>46203</v>
      </c>
      <c r="M968" s="107" t="n">
        <v>145420</v>
      </c>
      <c r="N968" s="107" t="n">
        <v>513650866.212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2026-09-18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46203</v>
      </c>
      <c r="L969" s="106" t="n">
        <v>46203</v>
      </c>
      <c r="M969" s="107" t="n">
        <v>58388</v>
      </c>
      <c r="N969" s="107" t="n">
        <v>237515377.44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2026-09-18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19860</v>
      </c>
      <c r="N970" s="107" t="n">
        <v>80788096.8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2026-09-18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46165</v>
      </c>
      <c r="L971" s="106" t="n">
        <v>46173</v>
      </c>
      <c r="M971" s="107" t="n">
        <v>56081</v>
      </c>
      <c r="N971" s="107" t="n">
        <v>88880533.66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2026-09-18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46175</v>
      </c>
      <c r="L972" s="106" t="n">
        <v>46203</v>
      </c>
      <c r="M972" s="107" t="n">
        <v>154340</v>
      </c>
      <c r="N972" s="107" t="n">
        <v>244607292.4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2026-09-18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46204</v>
      </c>
      <c r="L973" s="106" t="n">
        <v>46204</v>
      </c>
      <c r="M973" s="107" t="n">
        <v>7569</v>
      </c>
      <c r="N973" s="107" t="n">
        <v>11995805.34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2026-09-18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46125</v>
      </c>
      <c r="L974" s="106" t="n">
        <v>46195</v>
      </c>
      <c r="M974" s="107" t="n">
        <v>15909</v>
      </c>
      <c r="N974" s="107" t="n">
        <v>51692954.61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2026-09-18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46167</v>
      </c>
      <c r="L975" s="106" t="n">
        <v>46203</v>
      </c>
      <c r="M975" s="107" t="n">
        <v>492873</v>
      </c>
      <c r="N975" s="107" t="n">
        <v>521114622.9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2026-09-18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Processing</t>
        </is>
      </c>
      <c r="I976" s="105" t="inlineStr">
        <is>
          <t>Tolling</t>
        </is>
      </c>
      <c r="J976" s="105" t="n"/>
      <c r="K976" s="106" t="n">
        <v>46168</v>
      </c>
      <c r="L976" s="106" t="n">
        <v>46200</v>
      </c>
      <c r="M976" s="107" t="n">
        <v>13694</v>
      </c>
      <c r="N976" s="107" t="n">
        <v>30599243</v>
      </c>
      <c r="O976" s="105" t="n"/>
      <c r="P976" s="105" t="inlineStr">
        <is>
          <t>PAID</t>
        </is>
      </c>
      <c r="Q976" s="105" t="n"/>
    </row>
    <row r="977">
      <c r="A977" s="105" t="inlineStr">
        <is>
          <t>2026-09-18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Processing</t>
        </is>
      </c>
      <c r="I977" s="105" t="inlineStr">
        <is>
          <t>Tolling</t>
        </is>
      </c>
      <c r="J977" s="105" t="n"/>
      <c r="K977" s="106" t="n">
        <v>46184</v>
      </c>
      <c r="L977" s="106" t="n">
        <v>46203</v>
      </c>
      <c r="M977" s="107" t="n">
        <v>87083</v>
      </c>
      <c r="N977" s="107" t="n">
        <v>46036427.95</v>
      </c>
      <c r="O977" s="105" t="n"/>
      <c r="P977" s="105" t="inlineStr">
        <is>
          <t>PAID</t>
        </is>
      </c>
      <c r="Q977" s="105" t="n"/>
    </row>
    <row r="978">
      <c r="A978" s="105" t="inlineStr">
        <is>
          <t>2026-09-18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Processing</t>
        </is>
      </c>
      <c r="I978" s="105" t="inlineStr">
        <is>
          <t>Tolling</t>
        </is>
      </c>
      <c r="J978" s="105" t="n"/>
      <c r="K978" s="106" t="n">
        <v>46192</v>
      </c>
      <c r="L978" s="106" t="n">
        <v>46199</v>
      </c>
      <c r="M978" s="107" t="n">
        <v>85411</v>
      </c>
      <c r="N978" s="107" t="n">
        <v>22064223.63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2026-09-18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510000</v>
      </c>
      <c r="N979" s="107" t="n">
        <v>206040000</v>
      </c>
      <c r="O979" s="105" t="n">
        <v>35</v>
      </c>
      <c r="P979" s="105" t="inlineStr">
        <is>
          <t>OVERDUE 4</t>
        </is>
      </c>
      <c r="Q979" s="105" t="inlineStr">
        <is>
          <t>31-60</t>
        </is>
      </c>
    </row>
    <row r="980">
      <c r="A980" s="105" t="inlineStr">
        <is>
          <t>2026-09-18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168673</v>
      </c>
      <c r="N980" s="107" t="n">
        <v>3860924.97</v>
      </c>
      <c r="O980" s="105" t="n">
        <v>35</v>
      </c>
      <c r="P980" s="105" t="inlineStr">
        <is>
          <t>OVERDUE 4</t>
        </is>
      </c>
      <c r="Q980" s="105" t="inlineStr">
        <is>
          <t>31-60</t>
        </is>
      </c>
    </row>
    <row r="981">
      <c r="A981" s="105" t="inlineStr">
        <is>
          <t>2026-09-18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1800000</v>
      </c>
      <c r="N981" s="107" t="n">
        <v>302161780.8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2026-09-18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332134</v>
      </c>
      <c r="N982" s="107" t="n">
        <v>27842793.22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2026-09-18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2000000</v>
      </c>
      <c r="N983" s="107" t="n">
        <v>707000000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2026-09-18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6" t="n">
        <v>46174</v>
      </c>
      <c r="L984" s="106" t="n">
        <v>46203</v>
      </c>
      <c r="M984" s="107" t="n">
        <v>151913</v>
      </c>
      <c r="N984" s="107" t="n">
        <v>3477288.57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2026-09-18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6" t="n">
        <v>46174</v>
      </c>
      <c r="L985" s="106" t="n">
        <v>46203</v>
      </c>
      <c r="M985" s="107" t="n">
        <v>192</v>
      </c>
      <c r="N985" s="107" t="n">
        <v>104640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2026-09-18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6" t="n">
        <v>46174</v>
      </c>
      <c r="L986" s="106" t="n">
        <v>46203</v>
      </c>
      <c r="M986" s="107" t="n">
        <v>2200000</v>
      </c>
      <c r="N986" s="107" t="n">
        <v>755480000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2026-09-18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46184</v>
      </c>
      <c r="L987" s="106" t="n">
        <v>46196</v>
      </c>
      <c r="M987" s="107" t="n">
        <v>1403</v>
      </c>
      <c r="N987" s="107" t="n">
        <v>7132515.28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2026-09-18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46205</v>
      </c>
      <c r="L988" s="106" t="n">
        <v>46206</v>
      </c>
      <c r="M988" s="107" t="n">
        <v>751</v>
      </c>
      <c r="N988" s="107" t="n">
        <v>3817903.76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2026-09-18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46034</v>
      </c>
      <c r="L989" s="106" t="n">
        <v>46043</v>
      </c>
      <c r="M989" s="107" t="n">
        <v>7152</v>
      </c>
      <c r="N989" s="107" t="n">
        <v>11007500.16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2026-09-18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46182</v>
      </c>
      <c r="L990" s="106" t="n">
        <v>46199</v>
      </c>
      <c r="M990" s="107" t="n">
        <v>3924</v>
      </c>
      <c r="N990" s="107" t="n">
        <v>6218990.640000001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2026-09-18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46132</v>
      </c>
      <c r="L991" s="106" t="n">
        <v>46132</v>
      </c>
      <c r="M991" s="107" t="n">
        <v>1000</v>
      </c>
      <c r="N991" s="107" t="n">
        <v>1057300</v>
      </c>
      <c r="O991" s="105" t="n"/>
      <c r="P991" s="105" t="inlineStr">
        <is>
          <t>PAID</t>
        </is>
      </c>
      <c r="Q991" s="105" t="n"/>
    </row>
    <row r="992">
      <c r="A992" s="105" t="inlineStr">
        <is>
          <t>2026-09-18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46181</v>
      </c>
      <c r="L992" s="106" t="n">
        <v>46203</v>
      </c>
      <c r="M992" s="107" t="n">
        <v>63205</v>
      </c>
      <c r="N992" s="107" t="n">
        <v>66826646.5</v>
      </c>
      <c r="O992" s="105" t="n"/>
      <c r="P992" s="105" t="inlineStr">
        <is>
          <t>PAID</t>
        </is>
      </c>
      <c r="Q992" s="105" t="n"/>
    </row>
    <row r="993">
      <c r="A993" s="105" t="inlineStr">
        <is>
          <t>2026-09-18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Processing</t>
        </is>
      </c>
      <c r="I993" s="105" t="inlineStr">
        <is>
          <t>Tolling</t>
        </is>
      </c>
      <c r="J993" s="105" t="n"/>
      <c r="K993" s="106" t="n">
        <v>46207</v>
      </c>
      <c r="L993" s="106" t="n">
        <v>46207</v>
      </c>
      <c r="M993" s="107" t="n">
        <v>2266</v>
      </c>
      <c r="N993" s="107" t="n">
        <v>2395841.8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2026-09-18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46204</v>
      </c>
      <c r="L994" s="106" t="n">
        <v>46206</v>
      </c>
      <c r="M994" s="107" t="n">
        <v>22979</v>
      </c>
      <c r="N994" s="107" t="n">
        <v>326395903.6008</v>
      </c>
      <c r="O994" s="105" t="n">
        <v>-1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2026-09-18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5" t="n"/>
      <c r="G995" s="105" t="inlineStr">
        <is>
          <t>Open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46199</v>
      </c>
      <c r="L995" s="106" t="n">
        <v>46211</v>
      </c>
      <c r="M995" s="107" t="n">
        <v>20.28</v>
      </c>
      <c r="N995" s="107" t="n">
        <v>240049.20888</v>
      </c>
      <c r="O995" s="105" t="n">
        <v>-1</v>
      </c>
      <c r="P995" s="105" t="inlineStr">
        <is>
          <t>NOT YET DUE</t>
        </is>
      </c>
      <c r="Q995" s="105" t="inlineStr">
        <is>
          <t>NOT YET DUE</t>
        </is>
      </c>
    </row>
    <row r="996">
      <c r="A996" s="105" t="inlineStr">
        <is>
          <t>2026-09-18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inlineStr">
        <is>
          <t>22/CR/PT.ASI/VI/2026</t>
        </is>
      </c>
      <c r="K996" s="106" t="n">
        <v>46203</v>
      </c>
      <c r="L996" s="106" t="n">
        <v>46204</v>
      </c>
      <c r="M996" s="107" t="n">
        <v>0</v>
      </c>
      <c r="N996" s="107" t="n">
        <v>-18746910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2026-09-18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5" t="n"/>
      <c r="G997" s="105" t="inlineStr">
        <is>
          <t>Open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46206</v>
      </c>
      <c r="L997" s="106" t="n">
        <v>46219</v>
      </c>
      <c r="M997" s="107" t="n">
        <v>40612</v>
      </c>
      <c r="N997" s="107" t="n">
        <v>570800977.7184</v>
      </c>
      <c r="O997" s="105" t="n">
        <v>-3</v>
      </c>
      <c r="P997" s="105" t="inlineStr">
        <is>
          <t>NOT YET DUE</t>
        </is>
      </c>
      <c r="Q997" s="105" t="inlineStr">
        <is>
          <t>NOT YET DUE</t>
        </is>
      </c>
    </row>
    <row r="998">
      <c r="A998" s="105" t="inlineStr">
        <is>
          <t>2026-09-18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46171</v>
      </c>
      <c r="L998" s="106" t="n">
        <v>46171</v>
      </c>
      <c r="M998" s="107" t="n">
        <v>2806</v>
      </c>
      <c r="N998" s="107" t="n">
        <v>24468320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2026-09-18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46179</v>
      </c>
      <c r="L999" s="106" t="n">
        <v>46179</v>
      </c>
      <c r="M999" s="107" t="n">
        <v>837</v>
      </c>
      <c r="N999" s="107" t="n">
        <v>7298640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2026-09-18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46187</v>
      </c>
      <c r="L1000" s="106" t="n">
        <v>46187</v>
      </c>
      <c r="M1000" s="107" t="n">
        <v>164</v>
      </c>
      <c r="N1000" s="107" t="n">
        <v>1430080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2026-09-18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46187</v>
      </c>
      <c r="L1001" s="106" t="n">
        <v>46187</v>
      </c>
      <c r="M1001" s="107" t="n">
        <v>281</v>
      </c>
      <c r="N1001" s="107" t="n">
        <v>2450320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2026-09-18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46193</v>
      </c>
      <c r="L1002" s="106" t="n">
        <v>46193</v>
      </c>
      <c r="M1002" s="107" t="n">
        <v>281</v>
      </c>
      <c r="N1002" s="107" t="n">
        <v>2450320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2026-09-18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46199</v>
      </c>
      <c r="L1003" s="106" t="n">
        <v>46199</v>
      </c>
      <c r="M1003" s="107" t="n">
        <v>1257</v>
      </c>
      <c r="N1003" s="107" t="n">
        <v>10961040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2026-09-18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46199</v>
      </c>
      <c r="L1004" s="106" t="n">
        <v>46199</v>
      </c>
      <c r="M1004" s="107" t="n">
        <v>258</v>
      </c>
      <c r="N1004" s="107" t="n">
        <v>2249760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2026-09-18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46204</v>
      </c>
      <c r="L1005" s="106" t="n">
        <v>46204</v>
      </c>
      <c r="M1005" s="107" t="n">
        <v>461</v>
      </c>
      <c r="N1005" s="107" t="n">
        <v>4019920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2026-09-18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Processing</t>
        </is>
      </c>
      <c r="I1006" s="105" t="inlineStr">
        <is>
          <t>Tolling</t>
        </is>
      </c>
      <c r="J1006" s="105" t="n"/>
      <c r="K1006" s="106" t="n">
        <v>46205</v>
      </c>
      <c r="L1006" s="106" t="n">
        <v>46205</v>
      </c>
      <c r="M1006" s="107" t="n">
        <v>1446</v>
      </c>
      <c r="N1006" s="107" t="n">
        <v>12609120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2026-09-18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Processing</t>
        </is>
      </c>
      <c r="I1007" s="105" t="inlineStr">
        <is>
          <t>Tolling</t>
        </is>
      </c>
      <c r="J1007" s="105" t="n"/>
      <c r="K1007" s="106" t="n">
        <v>46206</v>
      </c>
      <c r="L1007" s="106" t="n">
        <v>46206</v>
      </c>
      <c r="M1007" s="107" t="n">
        <v>250</v>
      </c>
      <c r="N1007" s="107" t="n">
        <v>2180000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2026-09-18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Processing</t>
        </is>
      </c>
      <c r="I1008" s="105" t="inlineStr">
        <is>
          <t>Tolling</t>
        </is>
      </c>
      <c r="J1008" s="105" t="n"/>
      <c r="K1008" s="106" t="n">
        <v>46209</v>
      </c>
      <c r="L1008" s="106" t="n">
        <v>46209</v>
      </c>
      <c r="M1008" s="107" t="n">
        <v>604</v>
      </c>
      <c r="N1008" s="107" t="n">
        <v>5266880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2026-09-18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0</v>
      </c>
      <c r="N1009" s="107" t="n">
        <v>10000000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2026-09-18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0</v>
      </c>
      <c r="N1010" s="107" t="n">
        <v>192258045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2026-09-18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5200000</v>
      </c>
      <c r="N1011" s="107" t="n">
        <v>872911811.2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2026-09-18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1800000</v>
      </c>
      <c r="N1012" s="107" t="n">
        <v>302161780.8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2026-09-18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6" t="n">
        <v>46204</v>
      </c>
      <c r="L1013" s="106" t="n">
        <v>46234</v>
      </c>
      <c r="M1013" s="107" t="n">
        <v>1</v>
      </c>
      <c r="N1013" s="107" t="n">
        <v>6812450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2026-09-18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17071.42999999999</v>
      </c>
      <c r="N1014" s="107" t="n">
        <v>18212713.13836199</v>
      </c>
      <c r="O1014" s="105" t="n"/>
      <c r="P1014" s="105" t="inlineStr">
        <is>
          <t>PAID</t>
        </is>
      </c>
      <c r="Q1014" s="105" t="n"/>
    </row>
    <row r="1015">
      <c r="A1015" s="105" t="inlineStr">
        <is>
          <t>2026-09-18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65</v>
      </c>
      <c r="N1015" s="107" t="n">
        <v>715000</v>
      </c>
      <c r="O1015" s="105" t="n"/>
      <c r="P1015" s="105" t="inlineStr">
        <is>
          <t>PAID</t>
        </is>
      </c>
      <c r="Q1015" s="105" t="n"/>
    </row>
    <row r="1016">
      <c r="A1016" s="105" t="inlineStr">
        <is>
          <t>2026-09-18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6" t="n">
        <v>46023</v>
      </c>
      <c r="L1016" s="106" t="n">
        <v>46234</v>
      </c>
      <c r="M1016" s="107" t="n">
        <v>34281.8</v>
      </c>
      <c r="N1016" s="107" t="n">
        <v>36573654.88812</v>
      </c>
      <c r="O1016" s="105" t="n"/>
      <c r="P1016" s="105" t="inlineStr">
        <is>
          <t>PAID</t>
        </is>
      </c>
      <c r="Q1016" s="105" t="n"/>
    </row>
    <row r="1017">
      <c r="A1017" s="105" t="inlineStr">
        <is>
          <t>2026-09-18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6" t="n">
        <v>46204</v>
      </c>
      <c r="L1017" s="106" t="n">
        <v>46234</v>
      </c>
      <c r="M1017" s="107" t="n">
        <v>321000</v>
      </c>
      <c r="N1017" s="107" t="n">
        <v>142652400</v>
      </c>
      <c r="O1017" s="105" t="n">
        <v>13</v>
      </c>
      <c r="P1017" s="105" t="inlineStr">
        <is>
          <t>OVERDUE 2</t>
        </is>
      </c>
      <c r="Q1017" s="105" t="inlineStr">
        <is>
          <t>0-30</t>
        </is>
      </c>
    </row>
    <row r="1018">
      <c r="A1018" s="105" t="inlineStr">
        <is>
          <t>2026-09-18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6" t="n">
        <v>46204</v>
      </c>
      <c r="L1018" s="106" t="n">
        <v>46234</v>
      </c>
      <c r="M1018" s="107" t="n">
        <v>302343</v>
      </c>
      <c r="N1018" s="107" t="n">
        <v>6920631.27</v>
      </c>
      <c r="O1018" s="105" t="n">
        <v>13</v>
      </c>
      <c r="P1018" s="105" t="inlineStr">
        <is>
          <t>OVERDUE 2</t>
        </is>
      </c>
      <c r="Q1018" s="105" t="inlineStr">
        <is>
          <t>0-30</t>
        </is>
      </c>
    </row>
    <row r="1019">
      <c r="A1019" s="105" t="inlineStr">
        <is>
          <t>2026-09-18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6" t="n">
        <v>46204</v>
      </c>
      <c r="L1019" s="106" t="n">
        <v>46234</v>
      </c>
      <c r="M1019" s="107" t="n">
        <v>225120</v>
      </c>
      <c r="N1019" s="107" t="n">
        <v>18871809.6</v>
      </c>
      <c r="O1019" s="105" t="n">
        <v>-17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2026-09-18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46227</v>
      </c>
      <c r="L1020" s="106" t="n">
        <v>46227</v>
      </c>
      <c r="M1020" s="107" t="n">
        <v>57801</v>
      </c>
      <c r="N1020" s="107" t="n">
        <v>226017285.066</v>
      </c>
      <c r="O1020" s="105" t="n">
        <v>-18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2026-09-18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46224</v>
      </c>
      <c r="L1021" s="106" t="n">
        <v>46234</v>
      </c>
      <c r="M1021" s="107" t="n">
        <v>858303</v>
      </c>
      <c r="N1021" s="107" t="n">
        <v>3356193038.598001</v>
      </c>
      <c r="O1021" s="105" t="n">
        <v>-18</v>
      </c>
      <c r="P1021" s="105" t="inlineStr">
        <is>
          <t>NOT YET DUE</t>
        </is>
      </c>
      <c r="Q1021" s="105" t="inlineStr">
        <is>
          <t>NOT YET DUE</t>
        </is>
      </c>
    </row>
    <row r="1022">
      <c r="A1022" s="105" t="inlineStr">
        <is>
          <t>2026-09-18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46230</v>
      </c>
      <c r="L1022" s="106" t="n">
        <v>46234</v>
      </c>
      <c r="M1022" s="107" t="n">
        <v>54521</v>
      </c>
      <c r="N1022" s="107" t="n">
        <v>767489805.3095999</v>
      </c>
      <c r="O1022" s="105" t="n">
        <v>-18</v>
      </c>
      <c r="P1022" s="105" t="inlineStr">
        <is>
          <t>NOT YET DUE</t>
        </is>
      </c>
      <c r="Q1022" s="105" t="inlineStr">
        <is>
          <t>NOT YET DUE</t>
        </is>
      </c>
    </row>
    <row r="1023">
      <c r="A1023" s="105" t="inlineStr">
        <is>
          <t>2026-09-18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46235</v>
      </c>
      <c r="L1023" s="106" t="n">
        <v>46236</v>
      </c>
      <c r="M1023" s="107" t="n">
        <v>16450</v>
      </c>
      <c r="N1023" s="107" t="n">
        <v>231565952.52</v>
      </c>
      <c r="O1023" s="105" t="n">
        <v>-18</v>
      </c>
      <c r="P1023" s="105" t="inlineStr">
        <is>
          <t>NOT YET DUE</t>
        </is>
      </c>
      <c r="Q1023" s="105" t="inlineStr">
        <is>
          <t>NOT YET DUE</t>
        </is>
      </c>
    </row>
    <row r="1024">
      <c r="A1024" s="105" t="inlineStr">
        <is>
          <t>2026-09-18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654930.7</v>
      </c>
      <c r="N1024" s="107" t="n">
        <v>3981599123.659349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2026-09-18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46204</v>
      </c>
      <c r="L1025" s="106" t="n">
        <v>46234</v>
      </c>
      <c r="M1025" s="107" t="n">
        <v>887848.5</v>
      </c>
      <c r="N1025" s="107" t="n">
        <v>1542175442.6694</v>
      </c>
      <c r="O1025" s="105" t="n"/>
      <c r="P1025" s="105" t="inlineStr">
        <is>
          <t>PAID</t>
        </is>
      </c>
      <c r="Q1025" s="105" t="n"/>
    </row>
    <row r="1026">
      <c r="A1026" s="105" t="inlineStr">
        <is>
          <t>2026-09-18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Processing</t>
        </is>
      </c>
      <c r="I1026" s="105" t="inlineStr">
        <is>
          <t>Tolling</t>
        </is>
      </c>
      <c r="J1026" s="105" t="n"/>
      <c r="K1026" s="106" t="n">
        <v>46204</v>
      </c>
      <c r="L1026" s="106" t="n">
        <v>46234</v>
      </c>
      <c r="M1026" s="107" t="n">
        <v>46822.5</v>
      </c>
      <c r="N1026" s="107" t="n">
        <v>487978078.30875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2026-09-18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Processing</t>
        </is>
      </c>
      <c r="I1027" s="105" t="inlineStr">
        <is>
          <t>Tolling</t>
        </is>
      </c>
      <c r="J1027" s="105" t="n"/>
      <c r="K1027" s="106" t="n">
        <v>46204</v>
      </c>
      <c r="L1027" s="106" t="n">
        <v>46234</v>
      </c>
      <c r="M1027" s="107" t="n">
        <v>5471.2</v>
      </c>
      <c r="N1027" s="107" t="n">
        <v>14255050.74672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2026-09-18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Processing</t>
        </is>
      </c>
      <c r="I1028" s="105" t="inlineStr">
        <is>
          <t>Tolling</t>
        </is>
      </c>
      <c r="J1028" s="105" t="n"/>
      <c r="K1028" s="106" t="n">
        <v>46221</v>
      </c>
      <c r="L1028" s="106" t="n">
        <v>46227</v>
      </c>
      <c r="M1028" s="107" t="n">
        <v>62440</v>
      </c>
      <c r="N1028" s="107" t="n">
        <v>886307502.1920002</v>
      </c>
      <c r="O1028" s="105" t="n">
        <v>-22</v>
      </c>
      <c r="P1028" s="105" t="inlineStr">
        <is>
          <t>NOT YET DUE</t>
        </is>
      </c>
      <c r="Q1028" s="105" t="inlineStr">
        <is>
          <t>NOT YET DUE</t>
        </is>
      </c>
    </row>
    <row r="1029">
      <c r="A1029" s="105" t="inlineStr">
        <is>
          <t>2026-09-18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2000000</v>
      </c>
      <c r="N1029" s="107" t="n">
        <v>707000000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2026-09-18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6" t="n">
        <v>46204</v>
      </c>
      <c r="L1030" s="106" t="n">
        <v>46234</v>
      </c>
      <c r="M1030" s="107" t="n">
        <v>430652</v>
      </c>
      <c r="N1030" s="107" t="n">
        <v>9857624.279999999</v>
      </c>
      <c r="O1030" s="105" t="n"/>
      <c r="P1030" s="105" t="inlineStr">
        <is>
          <t>PAID</t>
        </is>
      </c>
      <c r="Q1030" s="105" t="n"/>
    </row>
    <row r="1031">
      <c r="A1031" s="105" t="inlineStr">
        <is>
          <t>2026-09-18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6" t="n">
        <v>46204</v>
      </c>
      <c r="L1031" s="106" t="n">
        <v>46234</v>
      </c>
      <c r="M1031" s="107" t="n">
        <v>1871</v>
      </c>
      <c r="N1031" s="107" t="n">
        <v>1019695</v>
      </c>
      <c r="O1031" s="105" t="n"/>
      <c r="P1031" s="105" t="inlineStr">
        <is>
          <t>PAID</t>
        </is>
      </c>
      <c r="Q1031" s="105" t="n"/>
    </row>
    <row r="1032">
      <c r="A1032" s="105" t="inlineStr">
        <is>
          <t>2026-09-18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6" t="n">
        <v>46204</v>
      </c>
      <c r="L1032" s="106" t="n">
        <v>46234</v>
      </c>
      <c r="M1032" s="107" t="n">
        <v>2200000</v>
      </c>
      <c r="N1032" s="107" t="n">
        <v>755480000</v>
      </c>
      <c r="O1032" s="105" t="n"/>
      <c r="P1032" s="105" t="inlineStr">
        <is>
          <t>PAID</t>
        </is>
      </c>
      <c r="Q1032" s="105" t="n"/>
    </row>
    <row r="1033">
      <c r="A1033" s="105" t="inlineStr">
        <is>
          <t>2026-09-18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46217</v>
      </c>
      <c r="L1033" s="106" t="n">
        <v>46219</v>
      </c>
      <c r="M1033" s="107" t="n">
        <v>43040</v>
      </c>
      <c r="N1033" s="107" t="n">
        <v>103679056</v>
      </c>
      <c r="O1033" s="105" t="n">
        <v>-9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2026-09-18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46220</v>
      </c>
      <c r="L1034" s="106" t="n">
        <v>46223</v>
      </c>
      <c r="M1034" s="107" t="n">
        <v>38550</v>
      </c>
      <c r="N1034" s="107" t="n">
        <v>92863095</v>
      </c>
      <c r="O1034" s="105" t="n">
        <v>-9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2026-09-18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46230</v>
      </c>
      <c r="L1035" s="106" t="n">
        <v>46230</v>
      </c>
      <c r="M1035" s="107" t="n">
        <v>7220</v>
      </c>
      <c r="N1035" s="107" t="n">
        <v>17392258</v>
      </c>
      <c r="O1035" s="105" t="n">
        <v>-9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2026-09-18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46225</v>
      </c>
      <c r="L1036" s="106" t="n">
        <v>46229</v>
      </c>
      <c r="M1036" s="107" t="n">
        <v>82085</v>
      </c>
      <c r="N1036" s="107" t="n">
        <v>197734556.5</v>
      </c>
      <c r="O1036" s="105" t="n">
        <v>-9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2026-09-18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46234</v>
      </c>
      <c r="L1037" s="106" t="n">
        <v>46238</v>
      </c>
      <c r="M1037" s="107" t="n">
        <v>105756</v>
      </c>
      <c r="N1037" s="107" t="n">
        <v>254755628.4</v>
      </c>
      <c r="O1037" s="105" t="n">
        <v>-9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2026-09-18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46206</v>
      </c>
      <c r="L1038" s="106" t="n">
        <v>46206</v>
      </c>
      <c r="M1038" s="107" t="n">
        <v>4400</v>
      </c>
      <c r="N1038" s="107" t="n">
        <v>10599160</v>
      </c>
      <c r="O1038" s="105" t="n">
        <v>-9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2026-09-18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46238</v>
      </c>
      <c r="L1039" s="106" t="n">
        <v>46239</v>
      </c>
      <c r="M1039" s="107" t="n">
        <v>22585</v>
      </c>
      <c r="N1039" s="107" t="n">
        <v>54405006.5</v>
      </c>
      <c r="O1039" s="105" t="n">
        <v>-9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2026-09-18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46240</v>
      </c>
      <c r="L1040" s="106" t="n">
        <v>46240</v>
      </c>
      <c r="M1040" s="107" t="n">
        <v>680</v>
      </c>
      <c r="N1040" s="107" t="n">
        <v>1075481.2</v>
      </c>
      <c r="O1040" s="105" t="n">
        <v>-9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2026-09-18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46203</v>
      </c>
      <c r="L1041" s="106" t="n">
        <v>46203</v>
      </c>
      <c r="M1041" s="107" t="n">
        <v>508</v>
      </c>
      <c r="N1041" s="107" t="n">
        <v>803447.72</v>
      </c>
      <c r="O1041" s="105" t="n">
        <v>-9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2026-09-18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46230</v>
      </c>
      <c r="L1042" s="106" t="n">
        <v>46230</v>
      </c>
      <c r="M1042" s="107" t="n">
        <v>3010</v>
      </c>
      <c r="N1042" s="107" t="n">
        <v>7250789</v>
      </c>
      <c r="O1042" s="105" t="n">
        <v>-9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2026-09-18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46224</v>
      </c>
      <c r="L1043" s="106" t="n">
        <v>46225</v>
      </c>
      <c r="M1043" s="107" t="n">
        <v>42060</v>
      </c>
      <c r="N1043" s="107" t="n">
        <v>101318334</v>
      </c>
      <c r="O1043" s="105" t="n">
        <v>-9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2026-09-18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46235</v>
      </c>
      <c r="L1044" s="106" t="n">
        <v>46241</v>
      </c>
      <c r="M1044" s="107" t="n">
        <v>1460946</v>
      </c>
      <c r="N1044" s="107" t="n">
        <v>5676698527.872001</v>
      </c>
      <c r="O1044" s="105" t="n">
        <v>-25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2026-09-18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46238</v>
      </c>
      <c r="L1045" s="106" t="n">
        <v>46241</v>
      </c>
      <c r="M1045" s="107" t="n">
        <v>40333</v>
      </c>
      <c r="N1045" s="107" t="n">
        <v>564189103.6416</v>
      </c>
      <c r="O1045" s="105" t="n">
        <v>-25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2026-09-18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46227</v>
      </c>
      <c r="L1046" s="106" t="n">
        <v>46245</v>
      </c>
      <c r="M1046" s="107" t="n">
        <v>23561</v>
      </c>
      <c r="N1046" s="107" t="n">
        <v>156400274.1</v>
      </c>
      <c r="O1046" s="105" t="n">
        <v>-10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2026-09-18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46244</v>
      </c>
      <c r="L1047" s="106" t="n">
        <v>46245</v>
      </c>
      <c r="M1047" s="107" t="n">
        <v>3795</v>
      </c>
      <c r="N1047" s="107" t="n">
        <v>50838199.5</v>
      </c>
      <c r="O1047" s="105" t="n">
        <v>-10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2026-09-18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46244</v>
      </c>
      <c r="M1048" s="107" t="n">
        <v>56776</v>
      </c>
      <c r="N1048" s="107" t="n">
        <v>376884765.6</v>
      </c>
      <c r="O1048" s="105" t="n">
        <v>-10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2026-09-18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5" t="n"/>
      <c r="G1049" s="105" t="inlineStr">
        <is>
          <t>Open</t>
        </is>
      </c>
      <c r="H1049" s="105" t="inlineStr">
        <is>
          <t>Processing</t>
        </is>
      </c>
      <c r="I1049" s="105" t="inlineStr">
        <is>
          <t>Tolling</t>
        </is>
      </c>
      <c r="J1049" s="105" t="n"/>
      <c r="K1049" s="106" t="n">
        <v>46225</v>
      </c>
      <c r="L1049" s="106" t="n">
        <v>46244</v>
      </c>
      <c r="M1049" s="107" t="n">
        <v>7490</v>
      </c>
      <c r="N1049" s="107" t="n">
        <v>100336789</v>
      </c>
      <c r="O1049" s="105" t="n">
        <v>-10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2026-09-18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5" t="n"/>
      <c r="G1050" s="105" t="inlineStr">
        <is>
          <t>Open</t>
        </is>
      </c>
      <c r="H1050" s="105" t="inlineStr">
        <is>
          <t>Processing</t>
        </is>
      </c>
      <c r="I1050" s="105" t="inlineStr">
        <is>
          <t>Tolling</t>
        </is>
      </c>
      <c r="J1050" s="105" t="n"/>
      <c r="K1050" s="106" t="n">
        <v>46225</v>
      </c>
      <c r="L1050" s="106" t="n">
        <v>46244</v>
      </c>
      <c r="M1050" s="107" t="n">
        <v>118672</v>
      </c>
      <c r="N1050" s="107" t="n">
        <v>787756603.1999999</v>
      </c>
      <c r="O1050" s="105" t="n">
        <v>-10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2026-09-18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5" t="n"/>
      <c r="G1051" s="105" t="inlineStr">
        <is>
          <t>Open</t>
        </is>
      </c>
      <c r="H1051" s="105" t="inlineStr">
        <is>
          <t>Processing</t>
        </is>
      </c>
      <c r="I1051" s="105" t="inlineStr">
        <is>
          <t>Tolling</t>
        </is>
      </c>
      <c r="J1051" s="105" t="n"/>
      <c r="K1051" s="106" t="n">
        <v>46211</v>
      </c>
      <c r="L1051" s="106" t="n">
        <v>46245</v>
      </c>
      <c r="M1051" s="107" t="n">
        <v>10515</v>
      </c>
      <c r="N1051" s="107" t="n">
        <v>140859991.5</v>
      </c>
      <c r="O1051" s="105" t="n">
        <v>-10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2026-09-18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inlineStr">
        <is>
          <t>CS</t>
        </is>
      </c>
      <c r="K1052" s="106" t="n">
        <v>46204</v>
      </c>
      <c r="L1052" s="106" t="n">
        <v>46234</v>
      </c>
      <c r="M1052" s="107" t="n">
        <v>4000000</v>
      </c>
      <c r="N1052" s="107" t="n">
        <v>1365520000</v>
      </c>
      <c r="O1052" s="105" t="n">
        <v>-29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2026-09-18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inlineStr">
        <is>
          <t>Handling</t>
        </is>
      </c>
      <c r="K1053" s="106" t="n">
        <v>46204</v>
      </c>
      <c r="L1053" s="106" t="n">
        <v>46234</v>
      </c>
      <c r="M1053" s="107" t="n">
        <v>228360</v>
      </c>
      <c r="N1053" s="107" t="n">
        <v>9687031.199999999</v>
      </c>
      <c r="O1053" s="105" t="n">
        <v>-29</v>
      </c>
      <c r="P1053" s="105" t="inlineStr">
        <is>
          <t>NOT YET DUE</t>
        </is>
      </c>
      <c r="Q1053" s="105" t="inlineStr">
        <is>
          <t>NOT YET DUE</t>
        </is>
      </c>
    </row>
    <row r="1054">
      <c r="A1054" s="105" t="inlineStr">
        <is>
          <t>2026-09-18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6" t="n">
        <v>46204</v>
      </c>
      <c r="L1054" s="106" t="n">
        <v>46234</v>
      </c>
      <c r="M1054" s="107" t="n">
        <v>4175000</v>
      </c>
      <c r="N1054" s="107" t="n">
        <v>1070726250</v>
      </c>
      <c r="O1054" s="105" t="n">
        <v>-29</v>
      </c>
      <c r="P1054" s="105" t="inlineStr">
        <is>
          <t>NOT YET DUE</t>
        </is>
      </c>
      <c r="Q1054" s="105" t="inlineStr">
        <is>
          <t>NOT YET DUE</t>
        </is>
      </c>
    </row>
    <row r="1055">
      <c r="A1055" s="105" t="inlineStr">
        <is>
          <t>2026-09-18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inlineStr">
        <is>
          <t>zero material</t>
        </is>
      </c>
      <c r="K1055" s="106" t="n">
        <v>46204</v>
      </c>
      <c r="L1055" s="106" t="n">
        <v>46234</v>
      </c>
      <c r="M1055" s="107" t="n">
        <v>3600000</v>
      </c>
      <c r="N1055" s="107" t="n">
        <v>272700000</v>
      </c>
      <c r="O1055" s="105" t="n">
        <v>-29</v>
      </c>
      <c r="P1055" s="105" t="inlineStr">
        <is>
          <t>NOT YET DUE</t>
        </is>
      </c>
      <c r="Q1055" s="105" t="inlineStr">
        <is>
          <t>NOT YET DUE</t>
        </is>
      </c>
    </row>
    <row r="1056">
      <c r="A1056" s="105" t="inlineStr">
        <is>
          <t>2026-09-18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 - LMB</t>
        </is>
      </c>
      <c r="I1056" s="105" t="inlineStr">
        <is>
          <t>Tolling</t>
        </is>
      </c>
      <c r="J1056" s="105" t="n"/>
      <c r="K1056" s="106" t="n">
        <v>46217</v>
      </c>
      <c r="L1056" s="106" t="n">
        <v>46231</v>
      </c>
      <c r="M1056" s="107" t="n">
        <v>9854</v>
      </c>
      <c r="N1056" s="107" t="n">
        <v>51019085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2026-09-18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46203</v>
      </c>
      <c r="L1057" s="106" t="n">
        <v>46203</v>
      </c>
      <c r="M1057" s="107" t="n">
        <v>6030</v>
      </c>
      <c r="N1057" s="107" t="n">
        <v>24529316.4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2026-09-18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46209</v>
      </c>
      <c r="L1058" s="106" t="n">
        <v>46220</v>
      </c>
      <c r="M1058" s="107" t="n">
        <v>23263</v>
      </c>
      <c r="N1058" s="107" t="n">
        <v>94631092.44000001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2026-09-18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46204</v>
      </c>
      <c r="L1059" s="106" t="n">
        <v>46234</v>
      </c>
      <c r="M1059" s="107" t="n">
        <v>555640</v>
      </c>
      <c r="N1059" s="107" t="n">
        <v>587478172</v>
      </c>
      <c r="O1059" s="105" t="n"/>
      <c r="P1059" s="105" t="inlineStr">
        <is>
          <t>PAID</t>
        </is>
      </c>
      <c r="Q1059" s="105" t="n"/>
    </row>
    <row r="1060">
      <c r="A1060" s="105" t="inlineStr">
        <is>
          <t>2026-09-18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46230</v>
      </c>
      <c r="L1060" s="106" t="n">
        <v>46233</v>
      </c>
      <c r="M1060" s="107" t="n">
        <v>130040</v>
      </c>
      <c r="N1060" s="107" t="n">
        <v>68745646</v>
      </c>
      <c r="O1060" s="105" t="n"/>
      <c r="P1060" s="105" t="inlineStr">
        <is>
          <t>PAID</t>
        </is>
      </c>
      <c r="Q1060" s="105" t="n"/>
    </row>
    <row r="1061">
      <c r="A1061" s="105" t="inlineStr">
        <is>
          <t>2026-09-18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46224</v>
      </c>
      <c r="L1061" s="106" t="n">
        <v>46233</v>
      </c>
      <c r="M1061" s="107" t="n">
        <v>130051</v>
      </c>
      <c r="N1061" s="107" t="n">
        <v>33596074.83</v>
      </c>
      <c r="O1061" s="105" t="n"/>
      <c r="P1061" s="105" t="inlineStr">
        <is>
          <t>PAID</t>
        </is>
      </c>
      <c r="Q1061" s="105" t="n"/>
    </row>
    <row r="1062">
      <c r="A1062" s="105" t="inlineStr">
        <is>
          <t>2026-09-18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46245</v>
      </c>
      <c r="L1062" s="106" t="n">
        <v>46247</v>
      </c>
      <c r="M1062" s="107" t="n">
        <v>38976</v>
      </c>
      <c r="N1062" s="107" t="n">
        <v>545818781.4912</v>
      </c>
      <c r="O1062" s="105" t="n">
        <v>-31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2026-09-18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46242</v>
      </c>
      <c r="L1063" s="106" t="n">
        <v>46243</v>
      </c>
      <c r="M1063" s="107" t="n">
        <v>197286</v>
      </c>
      <c r="N1063" s="107" t="n">
        <v>767367847.5204</v>
      </c>
      <c r="O1063" s="105" t="n">
        <v>-31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2026-09-18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46242</v>
      </c>
      <c r="L1064" s="106" t="n">
        <v>46248</v>
      </c>
      <c r="M1064" s="107" t="n">
        <v>1224147</v>
      </c>
      <c r="N1064" s="107" t="n">
        <v>4761468367.9458</v>
      </c>
      <c r="O1064" s="105" t="n">
        <v>-31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2026-09-18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46226</v>
      </c>
      <c r="L1065" s="106" t="n">
        <v>46229</v>
      </c>
      <c r="M1065" s="107" t="n">
        <v>126280</v>
      </c>
      <c r="N1065" s="107" t="n">
        <v>442076465.292</v>
      </c>
      <c r="O1065" s="105" t="n">
        <v>-31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2026-09-18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46247</v>
      </c>
      <c r="L1066" s="106" t="n">
        <v>46252</v>
      </c>
      <c r="M1066" s="107" t="n">
        <v>126960</v>
      </c>
      <c r="N1066" s="107" t="n">
        <v>444456984.744</v>
      </c>
      <c r="O1066" s="105" t="n">
        <v>-31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2026-09-18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46204</v>
      </c>
      <c r="L1067" s="106" t="n">
        <v>46234</v>
      </c>
      <c r="M1067" s="107" t="n">
        <v>165721.5</v>
      </c>
      <c r="N1067" s="107" t="n">
        <v>36849832.74</v>
      </c>
      <c r="O1067" s="105" t="n">
        <v>-2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2026-09-18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46204</v>
      </c>
      <c r="L1068" s="106" t="n">
        <v>46234</v>
      </c>
      <c r="M1068" s="107" t="n">
        <v>106329</v>
      </c>
      <c r="N1068" s="107" t="n">
        <v>31988016.36</v>
      </c>
      <c r="O1068" s="105" t="n">
        <v>-2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2026-09-18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46204</v>
      </c>
      <c r="L1069" s="106" t="n">
        <v>46234</v>
      </c>
      <c r="M1069" s="107" t="n">
        <v>62769.95</v>
      </c>
      <c r="N1069" s="107" t="n">
        <v>19431065.722</v>
      </c>
      <c r="O1069" s="105" t="n">
        <v>-2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2026-09-18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46214</v>
      </c>
      <c r="L1070" s="106" t="n">
        <v>46214</v>
      </c>
      <c r="M1070" s="107" t="n">
        <v>92</v>
      </c>
      <c r="N1070" s="107" t="n">
        <v>802240</v>
      </c>
      <c r="O1070" s="105" t="n">
        <v>-22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2026-09-18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46215</v>
      </c>
      <c r="L1071" s="106" t="n">
        <v>46215</v>
      </c>
      <c r="M1071" s="107" t="n">
        <v>990</v>
      </c>
      <c r="N1071" s="107" t="n">
        <v>8632800</v>
      </c>
      <c r="O1071" s="105" t="n">
        <v>-22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2026-09-18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46219</v>
      </c>
      <c r="L1072" s="106" t="n">
        <v>46219</v>
      </c>
      <c r="M1072" s="107" t="n">
        <v>111</v>
      </c>
      <c r="N1072" s="107" t="n">
        <v>967920</v>
      </c>
      <c r="O1072" s="105" t="n">
        <v>-22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2026-09-18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46228</v>
      </c>
      <c r="L1073" s="106" t="n">
        <v>46228</v>
      </c>
      <c r="M1073" s="107" t="n">
        <v>2352</v>
      </c>
      <c r="N1073" s="107" t="n">
        <v>20509440</v>
      </c>
      <c r="O1073" s="105" t="n">
        <v>-22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2026-09-18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46228</v>
      </c>
      <c r="L1074" s="106" t="n">
        <v>46228</v>
      </c>
      <c r="M1074" s="107" t="n">
        <v>250</v>
      </c>
      <c r="N1074" s="107" t="n">
        <v>2180000</v>
      </c>
      <c r="O1074" s="105" t="n">
        <v>-22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2026-09-18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46233</v>
      </c>
      <c r="L1075" s="106" t="n">
        <v>46233</v>
      </c>
      <c r="M1075" s="107" t="n">
        <v>62</v>
      </c>
      <c r="N1075" s="107" t="n">
        <v>540640</v>
      </c>
      <c r="O1075" s="105" t="n">
        <v>-22</v>
      </c>
      <c r="P1075" s="105" t="inlineStr">
        <is>
          <t>NOT YET DUE</t>
        </is>
      </c>
      <c r="Q1075" s="105" t="inlineStr">
        <is>
          <t>NOT YET DUE</t>
        </is>
      </c>
    </row>
    <row r="1076">
      <c r="A1076" s="105" t="inlineStr">
        <is>
          <t>2026-09-18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46233</v>
      </c>
      <c r="L1076" s="106" t="n">
        <v>46234</v>
      </c>
      <c r="M1076" s="107" t="n">
        <v>5451</v>
      </c>
      <c r="N1076" s="107" t="n">
        <v>47532720</v>
      </c>
      <c r="O1076" s="105" t="n">
        <v>-22</v>
      </c>
      <c r="P1076" s="105" t="inlineStr">
        <is>
          <t>NOT YET DUE</t>
        </is>
      </c>
      <c r="Q1076" s="105" t="inlineStr">
        <is>
          <t>NOT YET DUE</t>
        </is>
      </c>
    </row>
    <row r="1077">
      <c r="A1077" s="105" t="inlineStr">
        <is>
          <t>2026-09-18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46235</v>
      </c>
      <c r="L1077" s="106" t="n">
        <v>46238</v>
      </c>
      <c r="M1077" s="107" t="n">
        <v>5825</v>
      </c>
      <c r="N1077" s="107" t="n">
        <v>50794000</v>
      </c>
      <c r="O1077" s="105" t="n">
        <v>-22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2026-09-18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46223</v>
      </c>
      <c r="L1078" s="106" t="n">
        <v>46230</v>
      </c>
      <c r="M1078" s="107" t="n">
        <v>15163</v>
      </c>
      <c r="N1078" s="107" t="n">
        <v>127114309.97</v>
      </c>
      <c r="O1078" s="105" t="n"/>
      <c r="P1078" s="105" t="inlineStr">
        <is>
          <t>PAID</t>
        </is>
      </c>
      <c r="Q1078" s="105" t="n"/>
    </row>
    <row r="1079">
      <c r="A1079" s="105" t="inlineStr">
        <is>
          <t>2026-09-18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46193</v>
      </c>
      <c r="L1079" s="106" t="n">
        <v>46193</v>
      </c>
      <c r="M1079" s="107" t="n">
        <v>685</v>
      </c>
      <c r="N1079" s="107" t="n">
        <v>2187684.5</v>
      </c>
      <c r="O1079" s="105" t="n"/>
      <c r="P1079" s="105" t="inlineStr">
        <is>
          <t>PAID</t>
        </is>
      </c>
      <c r="Q1079" s="105" t="n"/>
    </row>
    <row r="1080">
      <c r="A1080" s="105" t="inlineStr">
        <is>
          <t>2026-09-18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46253</v>
      </c>
      <c r="L1080" s="106" t="n">
        <v>46255</v>
      </c>
      <c r="M1080" s="107" t="n">
        <v>97140</v>
      </c>
      <c r="N1080" s="107" t="n">
        <v>337392787.2479999</v>
      </c>
      <c r="O1080" s="105" t="n">
        <v>-42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2026-09-18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Processing</t>
        </is>
      </c>
      <c r="I1081" s="105" t="inlineStr">
        <is>
          <t>Tolling</t>
        </is>
      </c>
      <c r="J1081" s="105" t="n"/>
      <c r="K1081" s="106" t="n">
        <v>46248</v>
      </c>
      <c r="L1081" s="106" t="n">
        <v>46257</v>
      </c>
      <c r="M1081" s="107" t="n">
        <v>2127781</v>
      </c>
      <c r="N1081" s="107" t="n">
        <v>8211508178.4966</v>
      </c>
      <c r="O1081" s="105" t="n">
        <v>-42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2026-09-18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Processing</t>
        </is>
      </c>
      <c r="I1082" s="105" t="inlineStr">
        <is>
          <t>Tolling</t>
        </is>
      </c>
      <c r="J1082" s="105" t="n"/>
      <c r="K1082" s="106" t="n">
        <v>46248</v>
      </c>
      <c r="L1082" s="106" t="n">
        <v>46257</v>
      </c>
      <c r="M1082" s="107" t="n">
        <v>64998</v>
      </c>
      <c r="N1082" s="107" t="n">
        <v>903022062.8508</v>
      </c>
      <c r="O1082" s="105" t="n">
        <v>-42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2026-09-18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46249</v>
      </c>
      <c r="L1083" s="106" t="n">
        <v>46257</v>
      </c>
      <c r="M1083" s="107" t="n">
        <v>495617</v>
      </c>
      <c r="N1083" s="107" t="n">
        <v>1912679476.3662</v>
      </c>
      <c r="O1083" s="105" t="n">
        <v>-42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2026-09-18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</v>
      </c>
      <c r="N1084" s="107" t="n">
        <v>10000000</v>
      </c>
      <c r="O1084" s="105" t="n"/>
      <c r="P1084" s="105" t="n"/>
      <c r="Q1084" s="105" t="n"/>
    </row>
    <row r="1085">
      <c r="A1085" s="105" t="inlineStr">
        <is>
          <t>2026-09-18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1</v>
      </c>
      <c r="N1085" s="107" t="n">
        <v>192258045</v>
      </c>
      <c r="O1085" s="105" t="n"/>
      <c r="P1085" s="105" t="n"/>
      <c r="Q1085" s="105" t="n"/>
    </row>
    <row r="1086">
      <c r="A1086" s="105" t="inlineStr">
        <is>
          <t>2026-09-18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1</v>
      </c>
      <c r="N1086" s="107" t="n">
        <v>6812450</v>
      </c>
      <c r="O1086" s="105" t="n"/>
      <c r="P1086" s="105" t="n"/>
      <c r="Q1086" s="105" t="n"/>
    </row>
    <row r="1087">
      <c r="A1087" s="105" t="inlineStr">
        <is>
          <t>2026-09-18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16132.6</v>
      </c>
      <c r="N1087" s="107" t="n">
        <v>17211119.16084</v>
      </c>
      <c r="O1087" s="105" t="n"/>
      <c r="P1087" s="105" t="n"/>
      <c r="Q1087" s="105" t="n"/>
    </row>
    <row r="1088">
      <c r="A1088" s="105" t="inlineStr">
        <is>
          <t>2026-09-18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54</v>
      </c>
      <c r="N1088" s="107" t="n">
        <v>594000</v>
      </c>
      <c r="O1088" s="105" t="n"/>
      <c r="P1088" s="105" t="n"/>
      <c r="Q1088" s="105" t="n"/>
    </row>
    <row r="1089">
      <c r="A1089" s="105" t="inlineStr">
        <is>
          <t>2026-09-18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6" t="n">
        <v>46235</v>
      </c>
      <c r="L1089" s="106" t="n">
        <v>46265</v>
      </c>
      <c r="M1089" s="107" t="n">
        <v>4701.2</v>
      </c>
      <c r="N1089" s="107" t="n">
        <v>5015491.20408</v>
      </c>
      <c r="O1089" s="105" t="n"/>
      <c r="P1089" s="105" t="n"/>
      <c r="Q1089" s="105" t="n"/>
    </row>
    <row r="1090">
      <c r="A1090" s="105" t="inlineStr">
        <is>
          <t>2026-09-18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6" t="n">
        <v>46235</v>
      </c>
      <c r="L1090" s="106" t="n">
        <v>46265</v>
      </c>
      <c r="M1090" s="107" t="n">
        <v>5200000</v>
      </c>
      <c r="N1090" s="107" t="n">
        <v>872911811.2</v>
      </c>
      <c r="O1090" s="105" t="n">
        <v>-12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2026-09-18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6" t="n">
        <v>46235</v>
      </c>
      <c r="L1091" s="106" t="n">
        <v>46265</v>
      </c>
      <c r="M1091" s="107" t="n">
        <v>1800000</v>
      </c>
      <c r="N1091" s="107" t="n">
        <v>302161780.8</v>
      </c>
      <c r="O1091" s="105" t="n">
        <v>-12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2026-09-18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46206</v>
      </c>
      <c r="L1092" s="106" t="n">
        <v>46233</v>
      </c>
      <c r="M1092" s="107" t="n">
        <v>762117</v>
      </c>
      <c r="N1092" s="107" t="n">
        <v>3100200501.96</v>
      </c>
      <c r="O1092" s="105" t="n">
        <v>-13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2026-09-18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46183</v>
      </c>
      <c r="L1093" s="106" t="n">
        <v>46183</v>
      </c>
      <c r="M1093" s="107" t="n">
        <v>150</v>
      </c>
      <c r="N1093" s="107" t="n">
        <v>237729</v>
      </c>
      <c r="O1093" s="105" t="n">
        <v>-13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2026-09-18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46230</v>
      </c>
      <c r="L1094" s="106" t="n">
        <v>46234</v>
      </c>
      <c r="M1094" s="107" t="n">
        <v>89853</v>
      </c>
      <c r="N1094" s="107" t="n">
        <v>142404425.58</v>
      </c>
      <c r="O1094" s="105" t="n">
        <v>-13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2026-09-18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46237</v>
      </c>
      <c r="L1095" s="106" t="n">
        <v>46242</v>
      </c>
      <c r="M1095" s="107" t="n">
        <v>170700</v>
      </c>
      <c r="N1095" s="107" t="n">
        <v>270535602</v>
      </c>
      <c r="O1095" s="105" t="n">
        <v>-13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2026-09-18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46218</v>
      </c>
      <c r="L1096" s="106" t="n">
        <v>46233</v>
      </c>
      <c r="M1096" s="107" t="n">
        <v>36342</v>
      </c>
      <c r="N1096" s="107" t="n">
        <v>28798491.06</v>
      </c>
      <c r="O1096" s="105" t="n">
        <v>-13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2026-09-18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6" t="n">
        <v>46204</v>
      </c>
      <c r="L1097" s="106" t="n">
        <v>46234</v>
      </c>
      <c r="M1097" s="107" t="n">
        <v>1657728.66</v>
      </c>
      <c r="N1097" s="107" t="n">
        <v>541504029.249372</v>
      </c>
      <c r="O1097" s="105" t="n">
        <v>-15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2026-09-18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46258</v>
      </c>
      <c r="L1098" s="106" t="n">
        <v>46258</v>
      </c>
      <c r="M1098" s="107" t="n">
        <v>124152</v>
      </c>
      <c r="N1098" s="107" t="n">
        <v>479734948.6272</v>
      </c>
      <c r="O1098" s="105" t="n">
        <v>-45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2026-09-18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46257</v>
      </c>
      <c r="L1099" s="106" t="n">
        <v>46261</v>
      </c>
      <c r="M1099" s="107" t="n">
        <v>864430</v>
      </c>
      <c r="N1099" s="107" t="n">
        <v>3340238430.648</v>
      </c>
      <c r="O1099" s="105" t="n">
        <v>-45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2026-09-18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46260</v>
      </c>
      <c r="L1100" s="106" t="n">
        <v>46262</v>
      </c>
      <c r="M1100" s="107" t="n">
        <v>38134</v>
      </c>
      <c r="N1100" s="107" t="n">
        <v>530510117.7436</v>
      </c>
      <c r="O1100" s="105" t="n">
        <v>-45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2026-09-18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6" t="n">
        <v>46174</v>
      </c>
      <c r="L1101" s="106" t="n">
        <v>46265</v>
      </c>
      <c r="M1101" s="107" t="n">
        <v>3</v>
      </c>
      <c r="N1101" s="107" t="n">
        <v>22509333.69</v>
      </c>
      <c r="O1101" s="105" t="n">
        <v>-15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2026-09-18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46204</v>
      </c>
      <c r="L1102" s="106" t="n">
        <v>46234</v>
      </c>
      <c r="M1102" s="107" t="n">
        <v>19235.5</v>
      </c>
      <c r="N1102" s="107" t="n">
        <v>5535207.48</v>
      </c>
      <c r="O1102" s="105" t="n">
        <v>-21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2026-09-18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19753.5</v>
      </c>
      <c r="N1103" s="107" t="n">
        <v>4392388.26</v>
      </c>
      <c r="O1103" s="105" t="n">
        <v>-21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2026-09-18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46204</v>
      </c>
      <c r="L1104" s="106" t="n">
        <v>46234</v>
      </c>
      <c r="M1104" s="107" t="n">
        <v>20874.3</v>
      </c>
      <c r="N1104" s="107" t="n">
        <v>18129124.98186</v>
      </c>
      <c r="O1104" s="105" t="n">
        <v>-21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2026-09-18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1625945.55</v>
      </c>
      <c r="N1105" s="107" t="n">
        <v>9884824431.36027</v>
      </c>
      <c r="O1105" s="105" t="n">
        <v>-21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2026-09-18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403173.25</v>
      </c>
      <c r="N1106" s="107" t="n">
        <v>700304033.0543</v>
      </c>
      <c r="O1106" s="105" t="n">
        <v>-21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2026-09-18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660572</v>
      </c>
      <c r="N1107" s="107" t="n">
        <v>1147400616.7888</v>
      </c>
      <c r="O1107" s="105" t="n">
        <v>-21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2026-09-18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5756</v>
      </c>
      <c r="N1108" s="107" t="n">
        <v>4999029.5912</v>
      </c>
      <c r="O1108" s="105" t="n">
        <v>-21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2026-09-18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40223</v>
      </c>
      <c r="N1109" s="107" t="n">
        <v>34933281.3146</v>
      </c>
      <c r="O1109" s="105" t="n">
        <v>-21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2026-09-18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46235</v>
      </c>
      <c r="L1110" s="106" t="n">
        <v>46265</v>
      </c>
      <c r="M1110" s="107" t="n">
        <v>8166</v>
      </c>
      <c r="N1110" s="107" t="n">
        <v>85105002.66900001</v>
      </c>
      <c r="O1110" s="105" t="n">
        <v>-21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2026-09-18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46235</v>
      </c>
      <c r="L1111" s="106" t="n">
        <v>46265</v>
      </c>
      <c r="M1111" s="107" t="n">
        <v>85023</v>
      </c>
      <c r="N1111" s="107" t="n">
        <v>886098780.5445001</v>
      </c>
      <c r="O1111" s="105" t="n">
        <v>-21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2026-09-18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Processing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100.8</v>
      </c>
      <c r="N1112" s="107" t="n">
        <v>262631.43648</v>
      </c>
      <c r="O1112" s="105" t="n">
        <v>-21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2026-09-18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5" t="n"/>
      <c r="G1113" s="105" t="inlineStr">
        <is>
          <t>Open</t>
        </is>
      </c>
      <c r="H1113" s="105" t="inlineStr">
        <is>
          <t>Processing</t>
        </is>
      </c>
      <c r="I1113" s="105" t="inlineStr">
        <is>
          <t>Tolling</t>
        </is>
      </c>
      <c r="J1113" s="105" t="n"/>
      <c r="K1113" s="106" t="n">
        <v>46143</v>
      </c>
      <c r="L1113" s="106" t="n">
        <v>46173</v>
      </c>
      <c r="M1113" s="107" t="n">
        <v>46738.95</v>
      </c>
      <c r="N1113" s="107" t="n">
        <v>2345778403.95195</v>
      </c>
      <c r="O1113" s="105" t="n">
        <v>-52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2026-09-18</t>
        </is>
      </c>
      <c r="B1114" s="105" t="inlineStr">
        <is>
          <t>PT Advanta Seeds Indonesia</t>
        </is>
      </c>
      <c r="C1114" s="105" t="inlineStr">
        <is>
          <t>PT.PSI/PT.ASI/RENTAL-CS-PAS2-25/IX/2026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2309000</v>
      </c>
      <c r="N1114" s="107" t="n">
        <v>816231500</v>
      </c>
      <c r="O1114" s="105" t="n">
        <v>-22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2026-09-18</t>
        </is>
      </c>
      <c r="B1115" s="105" t="inlineStr">
        <is>
          <t>PT Advanta Seeds Indonesia</t>
        </is>
      </c>
      <c r="C1115" s="105" t="inlineStr">
        <is>
          <t>PT.PSI/PT.ASI/HDL-CS-PAS2/26/IX/2026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506346</v>
      </c>
      <c r="N1115" s="107" t="n">
        <v>11590259.94</v>
      </c>
      <c r="O1115" s="105" t="n">
        <v>-22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2026-09-18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115</v>
      </c>
      <c r="N1116" s="107" t="n">
        <v>62675</v>
      </c>
      <c r="O1116" s="105" t="n">
        <v>-22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2026-09-18</t>
        </is>
      </c>
      <c r="B1117" s="105" t="inlineStr">
        <is>
          <t>PT Advanta Seeds Indonesia</t>
        </is>
      </c>
      <c r="C1117" s="105" t="inlineStr">
        <is>
          <t>PT.PSI/PT.ASI/RENTAL-CS 3-PAS2/27/IX/2026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2200000</v>
      </c>
      <c r="N1117" s="107" t="n">
        <v>755480000</v>
      </c>
      <c r="O1117" s="105" t="n">
        <v>-22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2026-09-18</t>
        </is>
      </c>
      <c r="B1118" s="105" t="inlineStr">
        <is>
          <t>PT Syngenta Indonesia</t>
        </is>
      </c>
      <c r="C1118" s="105" t="inlineStr">
        <is>
          <t>PT.PSI/PT.SSI/TC-MLG/52/IX/2026</t>
        </is>
      </c>
      <c r="D1118" s="106" t="n">
        <v>46276</v>
      </c>
      <c r="E1118" s="106" t="n">
        <v>46336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46261</v>
      </c>
      <c r="L1118" s="106" t="n">
        <v>46265</v>
      </c>
      <c r="M1118" s="107" t="n">
        <v>1011909</v>
      </c>
      <c r="N1118" s="107" t="n">
        <v>3872356057.5561</v>
      </c>
      <c r="O1118" s="105" t="n">
        <v>-53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2026-09-18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46266</v>
      </c>
      <c r="L1119" s="106" t="n">
        <v>46271</v>
      </c>
      <c r="M1119" s="107" t="n">
        <v>1032638</v>
      </c>
      <c r="N1119" s="107" t="n">
        <v>3951681440.2902</v>
      </c>
      <c r="O1119" s="105" t="n">
        <v>-53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2026-09-18</t>
        </is>
      </c>
      <c r="B1120" s="105" t="inlineStr">
        <is>
          <t>PT Syngenta Indonesia</t>
        </is>
      </c>
      <c r="C1120" s="105" t="inlineStr">
        <is>
          <t>PT.PSI/PT.SSI/TC-PAS 2/53/IX/2026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46267</v>
      </c>
      <c r="L1120" s="106" t="n">
        <v>46269</v>
      </c>
      <c r="M1120" s="107" t="n">
        <v>39198</v>
      </c>
      <c r="N1120" s="107" t="n">
        <v>539961649.7706</v>
      </c>
      <c r="O1120" s="105" t="n">
        <v>-53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2026-09-18</t>
        </is>
      </c>
      <c r="B1121" s="105" t="inlineStr">
        <is>
          <t>PT Bayer Indonesia</t>
        </is>
      </c>
      <c r="C1121" s="105" t="inlineStr">
        <is>
          <t>PT.PSI/PT.BI/FC/60/IX/2026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46268</v>
      </c>
      <c r="L1121" s="106" t="n">
        <v>46268</v>
      </c>
      <c r="M1121" s="107" t="n">
        <v>1700</v>
      </c>
      <c r="N1121" s="107" t="n">
        <v>22773370</v>
      </c>
      <c r="O1121" s="105" t="n">
        <v>-27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2026-09-18</t>
        </is>
      </c>
      <c r="B1122" s="105" t="inlineStr">
        <is>
          <t>PT Bayer Indonesia</t>
        </is>
      </c>
      <c r="C1122" s="105" t="inlineStr">
        <is>
          <t>PT.PSI/PT.BI/FC/61/IX/2026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46247</v>
      </c>
      <c r="L1122" s="106" t="n">
        <v>46255</v>
      </c>
      <c r="M1122" s="107" t="n">
        <v>1370</v>
      </c>
      <c r="N1122" s="107" t="n">
        <v>18352657</v>
      </c>
      <c r="O1122" s="105" t="n">
        <v>-27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2026-09-18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Processing</t>
        </is>
      </c>
      <c r="I1123" s="105" t="inlineStr">
        <is>
          <t>Tolling</t>
        </is>
      </c>
      <c r="J1123" s="105" t="n"/>
      <c r="K1123" s="106" t="n">
        <v>46268</v>
      </c>
      <c r="L1123" s="106" t="n">
        <v>46268</v>
      </c>
      <c r="M1123" s="107" t="n">
        <v>539</v>
      </c>
      <c r="N1123" s="107" t="n">
        <v>7220497.899999999</v>
      </c>
      <c r="O1123" s="105" t="n">
        <v>-27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2026-09-18</t>
        </is>
      </c>
      <c r="B1124" s="105" t="inlineStr">
        <is>
          <t>PT Bayer Indonesia</t>
        </is>
      </c>
      <c r="C1124" s="105" t="inlineStr">
        <is>
          <t>PT.PSI/PT.BI/FC/62/IX/2026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46246</v>
      </c>
      <c r="L1124" s="106" t="n">
        <v>46261</v>
      </c>
      <c r="M1124" s="107" t="n">
        <v>9470</v>
      </c>
      <c r="N1124" s="107" t="n">
        <v>126861067</v>
      </c>
      <c r="O1124" s="105" t="n">
        <v>-27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2026-09-18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46272</v>
      </c>
      <c r="L1125" s="106" t="n">
        <v>46272</v>
      </c>
      <c r="M1125" s="107" t="n">
        <v>4135</v>
      </c>
      <c r="N1125" s="107" t="n">
        <v>55392873.5</v>
      </c>
      <c r="O1125" s="105" t="n">
        <v>-27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2026-09-18</t>
        </is>
      </c>
      <c r="B1126" s="105" t="inlineStr">
        <is>
          <t>PT Corteva Agriscience Seed Indonesia</t>
        </is>
      </c>
      <c r="C1126" s="105" t="inlineStr">
        <is>
          <t>PT.PSI/PT.CASI/RENTAL COLD STORAGE_ PAS/16/IX/2026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2080836.26</v>
      </c>
      <c r="N1126" s="107" t="n">
        <v>679713903.841292</v>
      </c>
      <c r="O1126" s="105" t="n">
        <v>-27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2026-09-18</t>
        </is>
      </c>
      <c r="B1127" s="105" t="inlineStr">
        <is>
          <t>PT Bayer Indonesia</t>
        </is>
      </c>
      <c r="C1127" s="105" t="inlineStr">
        <is>
          <t>PT.PSI/PT.BI/FC/63/IX/2026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46247</v>
      </c>
      <c r="L1127" s="106" t="n">
        <v>46265</v>
      </c>
      <c r="M1127" s="107" t="n">
        <v>102263</v>
      </c>
      <c r="N1127" s="107" t="n">
        <v>678832020.3000001</v>
      </c>
      <c r="O1127" s="105" t="n">
        <v>-27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2026-09-18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56530</v>
      </c>
      <c r="N1128" s="107" t="n">
        <v>375251793</v>
      </c>
      <c r="O1128" s="105" t="n">
        <v>-27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2026-09-18</t>
        </is>
      </c>
      <c r="B1129" s="105" t="inlineStr">
        <is>
          <t>PT Bayer Indonesia</t>
        </is>
      </c>
      <c r="C1129" s="105" t="inlineStr">
        <is>
          <t>PT.PSI/PT.BI/FC/64/IX/2026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46247</v>
      </c>
      <c r="L1129" s="106" t="n">
        <v>46254</v>
      </c>
      <c r="M1129" s="107" t="n">
        <v>35445</v>
      </c>
      <c r="N1129" s="107" t="n">
        <v>235287454.5</v>
      </c>
      <c r="O1129" s="105" t="n">
        <v>-27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2026-09-18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Processing</t>
        </is>
      </c>
      <c r="I1130" s="105" t="inlineStr">
        <is>
          <t>Tolling</t>
        </is>
      </c>
      <c r="J1130" s="105" t="n"/>
      <c r="K1130" s="106" t="n">
        <v>46266</v>
      </c>
      <c r="L1130" s="106" t="n">
        <v>46272</v>
      </c>
      <c r="M1130" s="107" t="n">
        <v>104137</v>
      </c>
      <c r="N1130" s="107" t="n">
        <v>691271819.6999999</v>
      </c>
      <c r="O1130" s="105" t="n">
        <v>-27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2026-09-18</t>
        </is>
      </c>
      <c r="B1131" s="105" t="inlineStr">
        <is>
          <t>PT Bayer Indonesia</t>
        </is>
      </c>
      <c r="C1131" s="105" t="inlineStr">
        <is>
          <t>PT.PSI/PT.BI/FC/65/IX/2026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Processing</t>
        </is>
      </c>
      <c r="I1131" s="105" t="inlineStr">
        <is>
          <t>Tolling</t>
        </is>
      </c>
      <c r="J1131" s="105" t="n"/>
      <c r="K1131" s="106" t="n">
        <v>46246</v>
      </c>
      <c r="L1131" s="106" t="n">
        <v>46261</v>
      </c>
      <c r="M1131" s="107" t="n">
        <v>225796</v>
      </c>
      <c r="N1131" s="107" t="n">
        <v>1498856427.6</v>
      </c>
      <c r="O1131" s="105" t="n">
        <v>-27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2026-09-18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Processing</t>
        </is>
      </c>
      <c r="I1132" s="105" t="inlineStr">
        <is>
          <t>Tolling</t>
        </is>
      </c>
      <c r="J1132" s="105" t="n"/>
      <c r="K1132" s="106" t="n">
        <v>46267</v>
      </c>
      <c r="L1132" s="106" t="n">
        <v>46272</v>
      </c>
      <c r="M1132" s="107" t="n">
        <v>134650</v>
      </c>
      <c r="N1132" s="107" t="n">
        <v>893820165</v>
      </c>
      <c r="O1132" s="105" t="n">
        <v>-27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2026-09-18</t>
        </is>
      </c>
      <c r="B1133" s="105" t="inlineStr">
        <is>
          <t>PT Syngenta Indonesia</t>
        </is>
      </c>
      <c r="C1133" s="105" t="inlineStr">
        <is>
          <t xml:space="preserve">PT.PSI/PT.SSI/RENTAL-CS-PIER2/39/IX/2026 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1365520000</v>
      </c>
      <c r="O1133" s="105" t="n">
        <v>-57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2026-09-18</t>
        </is>
      </c>
      <c r="B1134" s="105" t="inlineStr">
        <is>
          <t>PT Syngenta Indonesia</t>
        </is>
      </c>
      <c r="C1134" s="105" t="inlineStr">
        <is>
          <t xml:space="preserve">PT.PSI/PT.SSI/RENTAL-H-PIER2/40/IX/2026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506164</v>
      </c>
      <c r="N1134" s="107" t="n">
        <v>21471476.88</v>
      </c>
      <c r="O1134" s="105" t="n">
        <v>-57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2026-09-18</t>
        </is>
      </c>
      <c r="B1135" s="105" t="inlineStr">
        <is>
          <t>PT Syngenta Indonesia</t>
        </is>
      </c>
      <c r="C1135" s="105" t="inlineStr">
        <is>
          <t>PT.PSI/PT.SSI/RENTAL-CS-MLG/41/IX/2026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6" t="n">
        <v>46235</v>
      </c>
      <c r="L1135" s="106" t="n">
        <v>46265</v>
      </c>
      <c r="M1135" s="107" t="n">
        <v>4175000</v>
      </c>
      <c r="N1135" s="107" t="n">
        <v>1070726250</v>
      </c>
      <c r="O1135" s="105" t="n">
        <v>-57</v>
      </c>
      <c r="P1135" s="105" t="inlineStr">
        <is>
          <t>NOT YET DUE</t>
        </is>
      </c>
      <c r="Q1135" s="105" t="inlineStr">
        <is>
          <t>NOT YET DUE</t>
        </is>
      </c>
    </row>
    <row r="1136">
      <c r="A1136" s="105" t="inlineStr">
        <is>
          <t>2026-09-18</t>
        </is>
      </c>
      <c r="B1136" s="105" t="inlineStr">
        <is>
          <t>PT Syngenta Indonesia</t>
        </is>
      </c>
      <c r="C1136" s="105" t="inlineStr">
        <is>
          <t>PT.PSI/PT.SSI/RENTAL-WH-MLG/42/IX/2026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WH</t>
        </is>
      </c>
      <c r="I1136" s="105" t="inlineStr">
        <is>
          <t>Rental</t>
        </is>
      </c>
      <c r="J1136" s="105" t="n"/>
      <c r="K1136" s="106" t="n">
        <v>46235</v>
      </c>
      <c r="L1136" s="106" t="n">
        <v>46265</v>
      </c>
      <c r="M1136" s="107" t="n">
        <v>4000000</v>
      </c>
      <c r="N1136" s="107" t="n">
        <v>303000000</v>
      </c>
      <c r="O1136" s="105" t="n">
        <v>-57</v>
      </c>
      <c r="P1136" s="105" t="inlineStr">
        <is>
          <t>NOT YET DUE</t>
        </is>
      </c>
      <c r="Q1136" s="105" t="inlineStr">
        <is>
          <t>NOT YET DUE</t>
        </is>
      </c>
    </row>
    <row r="1137">
      <c r="A1137" s="105" t="inlineStr">
        <is>
          <t>2026-09-18</t>
        </is>
      </c>
      <c r="B1137" s="105" t="inlineStr">
        <is>
          <t>PT Syngenta Indonesia</t>
        </is>
      </c>
      <c r="C1137" s="105" t="inlineStr">
        <is>
          <t>PT.PSI/PT.SSI/RENTAL/43/IX/2026</t>
        </is>
      </c>
      <c r="D1137" s="106" t="n">
        <v>46281</v>
      </c>
      <c r="E1137" s="106" t="n">
        <v>46341</v>
      </c>
      <c r="F1137" s="105" t="n"/>
      <c r="G1137" s="105" t="inlineStr">
        <is>
          <t>Open</t>
        </is>
      </c>
      <c r="H1137" s="105" t="inlineStr">
        <is>
          <t>Handling</t>
        </is>
      </c>
      <c r="I1137" s="105" t="inlineStr">
        <is>
          <t>Rental</t>
        </is>
      </c>
      <c r="J1137" s="105" t="n"/>
      <c r="K1137" s="106" t="n">
        <v>46235</v>
      </c>
      <c r="L1137" s="106" t="n">
        <v>46265</v>
      </c>
      <c r="M1137" s="107" t="n">
        <v>262428</v>
      </c>
      <c r="N1137" s="107" t="n">
        <v>21999339.24</v>
      </c>
      <c r="O1137" s="105" t="n">
        <v>-58</v>
      </c>
      <c r="P1137" s="105" t="inlineStr">
        <is>
          <t>NOT YET DUE</t>
        </is>
      </c>
      <c r="Q1137" s="105" t="inlineStr">
        <is>
          <t>NOT YET DUE</t>
        </is>
      </c>
    </row>
    <row r="1138">
      <c r="A1138" s="105" t="inlineStr">
        <is>
          <t>2026-09-18</t>
        </is>
      </c>
      <c r="B1138" s="105" t="inlineStr">
        <is>
          <t>PT Advanta Seeds Indonesia</t>
        </is>
      </c>
      <c r="C1138" s="105" t="n"/>
      <c r="D1138" s="105" t="n"/>
      <c r="E1138" s="105" t="n"/>
      <c r="F1138" s="105" t="n"/>
      <c r="G1138" s="105" t="inlineStr">
        <is>
          <t>Pending</t>
        </is>
      </c>
      <c r="H1138" s="105" t="inlineStr">
        <is>
          <t>FC</t>
        </is>
      </c>
      <c r="I1138" s="105" t="inlineStr">
        <is>
          <t>Tolling</t>
        </is>
      </c>
      <c r="J1138" s="105" t="n"/>
      <c r="K1138" s="106" t="n">
        <v>46235</v>
      </c>
      <c r="L1138" s="106" t="n">
        <v>46265</v>
      </c>
      <c r="M1138" s="107" t="n">
        <v>3256990</v>
      </c>
      <c r="N1138" s="107" t="n">
        <v>13247943944.279</v>
      </c>
      <c r="O1138" s="105" t="n"/>
      <c r="P1138" s="105" t="n"/>
      <c r="Q1138" s="105" t="inlineStr">
        <is>
          <t>0-30</t>
        </is>
      </c>
    </row>
    <row r="1139">
      <c r="A1139" s="105" t="inlineStr">
        <is>
          <t>2026-09-18</t>
        </is>
      </c>
      <c r="B1139" s="105" t="inlineStr">
        <is>
          <t>PT Advanta Seeds Indonesia</t>
        </is>
      </c>
      <c r="C1139" s="105" t="n"/>
      <c r="D1139" s="105" t="n"/>
      <c r="E1139" s="105" t="n"/>
      <c r="F1139" s="105" t="n"/>
      <c r="G1139" s="105" t="inlineStr">
        <is>
          <t>Pending</t>
        </is>
      </c>
      <c r="H1139" s="105" t="inlineStr">
        <is>
          <t>SC</t>
        </is>
      </c>
      <c r="I1139" s="105" t="inlineStr">
        <is>
          <t>Tolling</t>
        </is>
      </c>
      <c r="J1139" s="105" t="n"/>
      <c r="K1139" s="106" t="n">
        <v>46235</v>
      </c>
      <c r="L1139" s="106" t="n">
        <v>46265</v>
      </c>
      <c r="M1139" s="107" t="n">
        <v>140026</v>
      </c>
      <c r="N1139" s="107" t="n">
        <v>1122459338.028</v>
      </c>
      <c r="O1139" s="105" t="n"/>
      <c r="P1139" s="105" t="n"/>
      <c r="Q1139" s="105" t="inlineStr">
        <is>
          <t>0-30</t>
        </is>
      </c>
    </row>
  </sheetData>
  <autoFilter ref="A1:Q1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2026-09-18T06:49:45Z</dcterms:created>
  <dcterms:modified xmlns:dcterms="http://purl.org/dc/terms/" xmlns:xsi="http://www.w3.org/2001/XMLSchema-instance" xsi:type="dcterms:W3CDTF">2026-09-18T06:49:45Z</dcterms:modified>
</cp:coreProperties>
</file>